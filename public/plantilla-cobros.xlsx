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Profesional" sheetId="2" state="visible" r:id="rId4"/>
    <sheet name="Pacientes" sheetId="3" state="visible" r:id="rId5"/>
    <sheet name="Sesiones" sheetId="4" state="visible" r:id="rId6"/>
    <sheet name="Pagos" sheetId="5" state="visible" r:id="rId7"/>
    <sheet name="Resumen mensual" sheetId="6" state="visible" r:id="rId8"/>
    <sheet name="Lista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Formato 20-12345678-9 (11 dígitos con guiones).</t>
        </r>
      </text>
    </comment>
    <comment ref="B16" authorId="0">
      <text>
        <r>
          <rPr>
            <sz val="10"/>
            <rFont val="Arial"/>
            <family val="2"/>
          </rPr>
          <t xml:space="preserve">El Resumen mensual usa este año.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Solo números, sin puntos.</t>
        </r>
      </text>
    </comment>
    <comment ref="E1" authorId="0">
      <text>
        <r>
          <rPr>
            <sz val="10"/>
            <rFont val="Arial"/>
            <family val="2"/>
          </rPr>
          <t xml:space="preserve">CUIL o CUIT con guiones: 27-30123456-4. Si no lo tiene, dejar vacío y usar DNI.</t>
        </r>
      </text>
    </comment>
    <comment ref="R1" authorId="0">
      <text>
        <r>
          <rPr>
            <sz val="10"/>
            <rFont val="Arial"/>
            <family val="2"/>
          </rPr>
          <t xml:space="preserve">Sesiones registradas menos pagos, en la misma moneda. Negativo = saldo a favor.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Se calcula desde la fecha. Si el pago corresponde a otro mes (ej. paga octubre el 3/11), escribí encima la fecha 01/10/2026.</t>
        </r>
      </text>
    </comment>
  </commentList>
</comments>
</file>

<file path=xl/sharedStrings.xml><?xml version="1.0" encoding="utf-8"?>
<sst xmlns="http://schemas.openxmlformats.org/spreadsheetml/2006/main" count="161" uniqueCount="124">
  <si>
    <t xml:space="preserve">Planilla de cobros del consultorio</t>
  </si>
  <si>
    <t xml:space="preserve">COLORES</t>
  </si>
  <si>
    <t xml:space="preserve">• Celdas amarillas, texto azul: se completan a mano.</t>
  </si>
  <si>
    <t xml:space="preserve">• Celdas grises: se calculan solas. No escribir encima (salvo 'Mes imputado' en Pagos, ver comentario).</t>
  </si>
  <si>
    <t xml:space="preserve">• Texto verde: dato traído de otra hoja.</t>
  </si>
  <si>
    <t xml:space="preserve">ORDEN DE CARGA</t>
  </si>
  <si>
    <t xml:space="preserve">1. Profesional: datos de ella como emisora (CUIT, categoría, punto de venta, contadora). Una sola vez.</t>
  </si>
  <si>
    <t xml:space="preserve">2. Pacientes: un renglón por paciente con ID único (P001, P002…). DNI sin puntos; CUIL/CUIT con guiones.</t>
  </si>
  <si>
    <t xml:space="preserve">3. Sesiones: cada sesión dada, con su ID (S0001…). El estado se elige: Pagada / Parcial / Pendiente.</t>
  </si>
  <si>
    <t xml:space="preserve">4. Pagos: cada pago recibido (G0001…). Si se emitió factura, cargar Comprobante = Factura C, punto de venta y número.</t>
  </si>
  <si>
    <t xml:space="preserve">5. Resumen mensual: se arma solo. Cambiar el año en Profesional &gt; Año del reporte.</t>
  </si>
  <si>
    <t xml:space="preserve">REGLAS</t>
  </si>
  <si>
    <t xml:space="preserve">• ARS y USD van siempre separados. No convertir dólares a pesos en la planilla.</t>
  </si>
  <si>
    <t xml:space="preserve">• Fechas en formato dd/mm/aaaa. Montos como número, sin el signo $.</t>
  </si>
  <si>
    <t xml:space="preserve">• Pacientes con modalidad Mensual: alcanza con cargar el pago; las sesiones son opcionales.</t>
  </si>
  <si>
    <t xml:space="preserve">• No cargar datos clínicos. Las notas son solo administrativas.</t>
  </si>
  <si>
    <t xml:space="preserve">• La fila 2 de Pacientes, Sesiones y Pagos es un EJEMPLO: borrarla antes de usar.</t>
  </si>
  <si>
    <t xml:space="preserve">Esta estructura es la misma que va a importar la app (mismos nombres de columna).</t>
  </si>
  <si>
    <t xml:space="preserve">Datos de la profesional (emisora)</t>
  </si>
  <si>
    <t xml:space="preserve">Nombre y apellido</t>
  </si>
  <si>
    <t xml:space="preserve">DNI</t>
  </si>
  <si>
    <t xml:space="preserve">CUIT</t>
  </si>
  <si>
    <t xml:space="preserve">Condición frente al IVA</t>
  </si>
  <si>
    <t xml:space="preserve">Monotributo</t>
  </si>
  <si>
    <t xml:space="preserve">Categoría de Monotributo</t>
  </si>
  <si>
    <t xml:space="preserve">Actividad / código ARCA</t>
  </si>
  <si>
    <t xml:space="preserve">Domicilio fiscal</t>
  </si>
  <si>
    <t xml:space="preserve">Punto de venta (facturación)</t>
  </si>
  <si>
    <t xml:space="preserve">Matrícula profesional</t>
  </si>
  <si>
    <t xml:space="preserve">Email</t>
  </si>
  <si>
    <t xml:space="preserve">Teléfono</t>
  </si>
  <si>
    <t xml:space="preserve">Contadora – nombre</t>
  </si>
  <si>
    <t xml:space="preserve">Contadora – email</t>
  </si>
  <si>
    <t xml:space="preserve">Año del reporte</t>
  </si>
  <si>
    <t xml:space="preserve">ID paciente</t>
  </si>
  <si>
    <t xml:space="preserve">Nombre</t>
  </si>
  <si>
    <t xml:space="preserve">Apellido</t>
  </si>
  <si>
    <t xml:space="preserve">CUIL / CUIT</t>
  </si>
  <si>
    <t xml:space="preserve">Condición IVA</t>
  </si>
  <si>
    <t xml:space="preserve">Domicilio</t>
  </si>
  <si>
    <t xml:space="preserve">Modalidad</t>
  </si>
  <si>
    <t xml:space="preserve">Honorario</t>
  </si>
  <si>
    <t xml:space="preserve">Moneda</t>
  </si>
  <si>
    <t xml:space="preserve">Frecuencia</t>
  </si>
  <si>
    <t xml:space="preserve">Fecha de alta</t>
  </si>
  <si>
    <t xml:space="preserve">Activo</t>
  </si>
  <si>
    <t xml:space="preserve">Notas administrativas</t>
  </si>
  <si>
    <t xml:space="preserve">Nombre completo</t>
  </si>
  <si>
    <t xml:space="preserve">Debe ARS</t>
  </si>
  <si>
    <t xml:space="preserve">Debe USD</t>
  </si>
  <si>
    <t xml:space="preserve">Cobrado total ARS</t>
  </si>
  <si>
    <t xml:space="preserve">Cobrado total USD</t>
  </si>
  <si>
    <t xml:space="preserve">P001</t>
  </si>
  <si>
    <t xml:space="preserve">María</t>
  </si>
  <si>
    <t xml:space="preserve">Ejemplo</t>
  </si>
  <si>
    <t xml:space="preserve">30123456</t>
  </si>
  <si>
    <t xml:space="preserve">27-30123456-4</t>
  </si>
  <si>
    <t xml:space="preserve">Consumidor final</t>
  </si>
  <si>
    <t xml:space="preserve">11 5555-1234</t>
  </si>
  <si>
    <t xml:space="preserve">maria@ejemplo.com</t>
  </si>
  <si>
    <t xml:space="preserve">Av. Ejemplo 123, CABA</t>
  </si>
  <si>
    <t xml:space="preserve">Por sesión</t>
  </si>
  <si>
    <t xml:space="preserve">ARS</t>
  </si>
  <si>
    <t xml:space="preserve">Semanal</t>
  </si>
  <si>
    <t xml:space="preserve">Sí</t>
  </si>
  <si>
    <t xml:space="preserve">FILA DE EJEMPLO – borrar</t>
  </si>
  <si>
    <t xml:space="preserve">ID sesión</t>
  </si>
  <si>
    <t xml:space="preserve">Fecha</t>
  </si>
  <si>
    <t xml:space="preserve">Paciente</t>
  </si>
  <si>
    <t xml:space="preserve">Mes</t>
  </si>
  <si>
    <t xml:space="preserve">Monto</t>
  </si>
  <si>
    <t xml:space="preserve">Estado</t>
  </si>
  <si>
    <t xml:space="preserve">Observaciones</t>
  </si>
  <si>
    <t xml:space="preserve">S0001</t>
  </si>
  <si>
    <t xml:space="preserve">Pagada</t>
  </si>
  <si>
    <t xml:space="preserve">ID pago</t>
  </si>
  <si>
    <t xml:space="preserve">Fecha de pago</t>
  </si>
  <si>
    <t xml:space="preserve">Mes imputado</t>
  </si>
  <si>
    <t xml:space="preserve">Medio de pago</t>
  </si>
  <si>
    <t xml:space="preserve">Comprobante</t>
  </si>
  <si>
    <t xml:space="preserve">Punto de venta</t>
  </si>
  <si>
    <t xml:space="preserve">Nº de factura</t>
  </si>
  <si>
    <t xml:space="preserve">ID sesión (opcional)</t>
  </si>
  <si>
    <t xml:space="preserve">G0001</t>
  </si>
  <si>
    <t xml:space="preserve">Transferencia</t>
  </si>
  <si>
    <t xml:space="preserve">Factura C</t>
  </si>
  <si>
    <t xml:space="preserve">00002</t>
  </si>
  <si>
    <t xml:space="preserve">00000045</t>
  </si>
  <si>
    <t xml:space="preserve">Resumen mensual para la contadora</t>
  </si>
  <si>
    <t xml:space="preserve">Año:</t>
  </si>
  <si>
    <t xml:space="preserve">Cobrado ARS</t>
  </si>
  <si>
    <t xml:space="preserve">Cobrado USD</t>
  </si>
  <si>
    <t xml:space="preserve">Facturado ARS</t>
  </si>
  <si>
    <t xml:space="preserve">Facturado USD</t>
  </si>
  <si>
    <t xml:space="preserve">Sin factura ARS</t>
  </si>
  <si>
    <t xml:space="preserve">Sin factura USD</t>
  </si>
  <si>
    <t xml:space="preserve">Efectivo ARS</t>
  </si>
  <si>
    <t xml:space="preserve">Transferencia ARS</t>
  </si>
  <si>
    <t xml:space="preserve">MercadoPago ARS</t>
  </si>
  <si>
    <t xml:space="preserve">Otro ARS</t>
  </si>
  <si>
    <t xml:space="preserve">Sesiones</t>
  </si>
  <si>
    <t xml:space="preserve">Pendiente ARS (sesiones del mes)</t>
  </si>
  <si>
    <t xml:space="preserve">Pendiente USD (sesiones del mes)</t>
  </si>
  <si>
    <t xml:space="preserve">Total año</t>
  </si>
  <si>
    <t xml:space="preserve">Últimos 12 meses (hasta hoy)</t>
  </si>
  <si>
    <t xml:space="preserve">ARS y USD se informan por separado; no se convierten.</t>
  </si>
  <si>
    <t xml:space="preserve">El total de 12 meses le sirve a la contadora para la recategorización del Monotributo.</t>
  </si>
  <si>
    <t xml:space="preserve">Condición IVA paciente</t>
  </si>
  <si>
    <t xml:space="preserve">Estado sesión</t>
  </si>
  <si>
    <t xml:space="preserve">Efectivo</t>
  </si>
  <si>
    <t xml:space="preserve">USD</t>
  </si>
  <si>
    <t xml:space="preserve">Mensual</t>
  </si>
  <si>
    <t xml:space="preserve">Monotributista</t>
  </si>
  <si>
    <t xml:space="preserve">No</t>
  </si>
  <si>
    <t xml:space="preserve">Parcial</t>
  </si>
  <si>
    <t xml:space="preserve">Recibo</t>
  </si>
  <si>
    <t xml:space="preserve">Quincenal</t>
  </si>
  <si>
    <t xml:space="preserve">MercadoPago</t>
  </si>
  <si>
    <t xml:space="preserve">Responsable inscripto</t>
  </si>
  <si>
    <t xml:space="preserve">Pendiente</t>
  </si>
  <si>
    <t xml:space="preserve">Sin comprobante</t>
  </si>
  <si>
    <t xml:space="preserve">Otro</t>
  </si>
  <si>
    <t xml:space="preserve">Exento</t>
  </si>
  <si>
    <t xml:space="preserve">Eventual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</si>
</sst>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#,##0.00;\-#,##0.00;\-"/>
    <numFmt numFmtId="167" formatCode="dd/mm/yyyy"/>
    <numFmt numFmtId="168" formatCode="&quot;$ &quot;#,##0.00;&quot;-$ &quot;#,##0.00;\-"/>
    <numFmt numFmtId="169" formatCode="&quot;US$ &quot;#,##0.00;&quot;-US$ &quot;#,##0.00;\-"/>
    <numFmt numFmtId="170" formatCode="mmm\-yyyy"/>
    <numFmt numFmtId="171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F5D62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2F5D62"/>
      <name val="Arial"/>
      <family val="0"/>
      <charset val="1"/>
    </font>
    <font>
      <b val="true"/>
      <sz val="13"/>
      <color rgb="FF2F5D62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666666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6CC"/>
        <bgColor rgb="FFEEF2F2"/>
      </patternFill>
    </fill>
    <fill>
      <patternFill patternType="solid">
        <fgColor rgb="FF2F5D62"/>
        <bgColor rgb="FF666666"/>
      </patternFill>
    </fill>
    <fill>
      <patternFill patternType="solid">
        <fgColor rgb="FFEE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7"/>
      </left>
      <right style="thin">
        <color rgb="FFD0D7D7"/>
      </right>
      <top style="thin">
        <color rgb="FFD0D7D7"/>
      </top>
      <bottom style="thin">
        <color rgb="FFD0D7D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CC"/>
      <rgbColor rgb="FFEEF2F2"/>
      <rgbColor rgb="FF660066"/>
      <rgbColor rgb="FFFF8080"/>
      <rgbColor rgb="FF0066CC"/>
      <rgbColor rgb="FFD0D7D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6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2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0"/>
  </cols>
  <sheetData>
    <row r="1" customFormat="false" ht="16.15" hidden="false" customHeight="false" outlineLevel="0" collapsed="false">
      <c r="A1" s="4" t="s">
        <v>18</v>
      </c>
    </row>
    <row r="3" customFormat="false" ht="15" hidden="false" customHeight="false" outlineLevel="0" collapsed="false">
      <c r="A3" s="5" t="s">
        <v>19</v>
      </c>
      <c r="B3" s="6"/>
    </row>
    <row r="4" customFormat="false" ht="15" hidden="false" customHeight="false" outlineLevel="0" collapsed="false">
      <c r="A4" s="5" t="s">
        <v>20</v>
      </c>
      <c r="B4" s="7"/>
    </row>
    <row r="5" customFormat="false" ht="15" hidden="false" customHeight="false" outlineLevel="0" collapsed="false">
      <c r="A5" s="5" t="s">
        <v>21</v>
      </c>
      <c r="B5" s="7"/>
    </row>
    <row r="6" customFormat="false" ht="15" hidden="false" customHeight="false" outlineLevel="0" collapsed="false">
      <c r="A6" s="5" t="s">
        <v>22</v>
      </c>
      <c r="B6" s="6" t="s">
        <v>23</v>
      </c>
    </row>
    <row r="7" customFormat="false" ht="15" hidden="false" customHeight="false" outlineLevel="0" collapsed="false">
      <c r="A7" s="5" t="s">
        <v>24</v>
      </c>
      <c r="B7" s="6"/>
    </row>
    <row r="8" customFormat="false" ht="15" hidden="false" customHeight="false" outlineLevel="0" collapsed="false">
      <c r="A8" s="5" t="s">
        <v>25</v>
      </c>
      <c r="B8" s="6"/>
    </row>
    <row r="9" customFormat="false" ht="15" hidden="false" customHeight="false" outlineLevel="0" collapsed="false">
      <c r="A9" s="5" t="s">
        <v>26</v>
      </c>
      <c r="B9" s="6"/>
    </row>
    <row r="10" customFormat="false" ht="15" hidden="false" customHeight="false" outlineLevel="0" collapsed="false">
      <c r="A10" s="5" t="s">
        <v>27</v>
      </c>
      <c r="B10" s="7"/>
    </row>
    <row r="11" customFormat="false" ht="15" hidden="false" customHeight="false" outlineLevel="0" collapsed="false">
      <c r="A11" s="5" t="s">
        <v>28</v>
      </c>
      <c r="B11" s="6"/>
    </row>
    <row r="12" customFormat="false" ht="15" hidden="false" customHeight="false" outlineLevel="0" collapsed="false">
      <c r="A12" s="5" t="s">
        <v>29</v>
      </c>
      <c r="B12" s="6"/>
    </row>
    <row r="13" customFormat="false" ht="15" hidden="false" customHeight="false" outlineLevel="0" collapsed="false">
      <c r="A13" s="5" t="s">
        <v>30</v>
      </c>
      <c r="B13" s="6"/>
    </row>
    <row r="14" customFormat="false" ht="15" hidden="false" customHeight="false" outlineLevel="0" collapsed="false">
      <c r="A14" s="5" t="s">
        <v>31</v>
      </c>
      <c r="B14" s="6"/>
    </row>
    <row r="15" customFormat="false" ht="15" hidden="false" customHeight="false" outlineLevel="0" collapsed="false">
      <c r="A15" s="5" t="s">
        <v>32</v>
      </c>
      <c r="B15" s="6"/>
    </row>
    <row r="16" customFormat="false" ht="15" hidden="false" customHeight="false" outlineLevel="0" collapsed="false">
      <c r="A16" s="5" t="s">
        <v>33</v>
      </c>
      <c r="B16" s="6" t="n">
        <v>2026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6"/>
    <col collapsed="false" customWidth="true" hidden="false" outlineLevel="0" max="4" min="4" style="0" width="13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7" min="7" style="0" width="15"/>
    <col collapsed="false" customWidth="true" hidden="false" outlineLevel="0" max="8" min="8" style="0" width="24"/>
    <col collapsed="false" customWidth="true" hidden="false" outlineLevel="0" max="9" min="9" style="0" width="26"/>
    <col collapsed="false" customWidth="true" hidden="false" outlineLevel="0" max="11" min="10" style="0" width="13"/>
    <col collapsed="false" customWidth="true" hidden="false" outlineLevel="0" max="12" min="12" style="0" width="9"/>
    <col collapsed="false" customWidth="true" hidden="false" outlineLevel="0" max="14" min="13" style="0" width="12"/>
    <col collapsed="false" customWidth="true" hidden="false" outlineLevel="0" max="15" min="15" style="0" width="8"/>
    <col collapsed="false" customWidth="true" hidden="false" outlineLevel="0" max="16" min="16" style="0" width="28"/>
    <col collapsed="false" customWidth="true" hidden="false" outlineLevel="0" max="17" min="17" style="0" width="24"/>
    <col collapsed="false" customWidth="true" hidden="false" outlineLevel="0" max="19" min="18" style="0" width="14"/>
    <col collapsed="false" customWidth="true" hidden="false" outlineLevel="0" max="21" min="20" style="0" width="16"/>
  </cols>
  <sheetData>
    <row r="1" customFormat="false" ht="31.5" hidden="false" customHeight="true" outlineLevel="0" collapsed="false">
      <c r="A1" s="8" t="s">
        <v>34</v>
      </c>
      <c r="B1" s="8" t="s">
        <v>35</v>
      </c>
      <c r="C1" s="8" t="s">
        <v>36</v>
      </c>
      <c r="D1" s="8" t="s">
        <v>20</v>
      </c>
      <c r="E1" s="8" t="s">
        <v>37</v>
      </c>
      <c r="F1" s="8" t="s">
        <v>38</v>
      </c>
      <c r="G1" s="8" t="s">
        <v>30</v>
      </c>
      <c r="H1" s="8" t="s">
        <v>29</v>
      </c>
      <c r="I1" s="8" t="s">
        <v>39</v>
      </c>
      <c r="J1" s="8" t="s">
        <v>40</v>
      </c>
      <c r="K1" s="8" t="s">
        <v>41</v>
      </c>
      <c r="L1" s="8" t="s">
        <v>42</v>
      </c>
      <c r="M1" s="8" t="s">
        <v>43</v>
      </c>
      <c r="N1" s="8" t="s">
        <v>44</v>
      </c>
      <c r="O1" s="8" t="s">
        <v>45</v>
      </c>
      <c r="P1" s="8" t="s">
        <v>46</v>
      </c>
      <c r="Q1" s="8" t="s">
        <v>47</v>
      </c>
      <c r="R1" s="8" t="s">
        <v>48</v>
      </c>
      <c r="S1" s="8" t="s">
        <v>49</v>
      </c>
      <c r="T1" s="8" t="s">
        <v>50</v>
      </c>
      <c r="U1" s="8" t="s">
        <v>51</v>
      </c>
    </row>
    <row r="2" customFormat="false" ht="15" hidden="false" customHeight="false" outlineLevel="0" collapsed="false">
      <c r="A2" s="6" t="s">
        <v>52</v>
      </c>
      <c r="B2" s="6" t="s">
        <v>53</v>
      </c>
      <c r="C2" s="6" t="s">
        <v>54</v>
      </c>
      <c r="D2" s="7" t="s">
        <v>55</v>
      </c>
      <c r="E2" s="7" t="s">
        <v>56</v>
      </c>
      <c r="F2" s="6" t="s">
        <v>57</v>
      </c>
      <c r="G2" s="7" t="s">
        <v>58</v>
      </c>
      <c r="H2" s="6" t="s">
        <v>59</v>
      </c>
      <c r="I2" s="6" t="s">
        <v>60</v>
      </c>
      <c r="J2" s="6" t="s">
        <v>61</v>
      </c>
      <c r="K2" s="9" t="n">
        <v>25000</v>
      </c>
      <c r="L2" s="6" t="s">
        <v>62</v>
      </c>
      <c r="M2" s="6" t="s">
        <v>63</v>
      </c>
      <c r="N2" s="10" t="n">
        <v>46082</v>
      </c>
      <c r="O2" s="6" t="s">
        <v>64</v>
      </c>
      <c r="P2" s="6" t="s">
        <v>65</v>
      </c>
      <c r="Q2" s="11" t="str">
        <f aca="false">IF(A2="","",TRIM(B2&amp;" "&amp;C2))</f>
        <v>María Ejemplo</v>
      </c>
      <c r="R2" s="12" t="n">
        <f aca="false">IF(A2="","",SUMIFS(Sesiones!$F:$F,Sesiones!$C:$C,A2,Sesiones!$G:$G,"ARS")-SUMIFS(Pagos!$H:$H,Pagos!$D:$D,A2,Pagos!$I:$I,"ARS"))</f>
        <v>0</v>
      </c>
      <c r="S2" s="13" t="n">
        <f aca="false">IF(A2="","",SUMIFS(Sesiones!$F:$F,Sesiones!$C:$C,A2,Sesiones!$G:$G,"USD")-SUMIFS(Pagos!$H:$H,Pagos!$D:$D,A2,Pagos!$I:$I,"USD"))</f>
        <v>0</v>
      </c>
      <c r="T2" s="12" t="n">
        <f aca="false">IF(A2="","",SUMIFS(Pagos!$H:$H,Pagos!$D:$D,A2,Pagos!$I:$I,"ARS"))</f>
        <v>25000</v>
      </c>
      <c r="U2" s="13" t="n">
        <f aca="false">IF(A2="","",SUMIFS(Pagos!$H:$H,Pagos!$D:$D,A2,Pagos!$I:$I,"USD"))</f>
        <v>0</v>
      </c>
    </row>
    <row r="3" customFormat="false" ht="15" hidden="false" customHeight="false" outlineLevel="0" collapsed="false">
      <c r="A3" s="6"/>
      <c r="B3" s="6"/>
      <c r="C3" s="6"/>
      <c r="D3" s="7"/>
      <c r="E3" s="7"/>
      <c r="F3" s="6"/>
      <c r="G3" s="7"/>
      <c r="H3" s="6"/>
      <c r="I3" s="6"/>
      <c r="J3" s="6"/>
      <c r="K3" s="9"/>
      <c r="L3" s="6"/>
      <c r="M3" s="6"/>
      <c r="N3" s="10"/>
      <c r="O3" s="6"/>
      <c r="P3" s="6"/>
      <c r="Q3" s="11" t="str">
        <f aca="false">IF(A3="","",TRIM(B3&amp;" "&amp;C3))</f>
        <v/>
      </c>
      <c r="R3" s="12" t="str">
        <f aca="false">IF(A3="","",SUMIFS(Sesiones!$F:$F,Sesiones!$C:$C,A3,Sesiones!$G:$G,"ARS")-SUMIFS(Pagos!$H:$H,Pagos!$D:$D,A3,Pagos!$I:$I,"ARS"))</f>
        <v/>
      </c>
      <c r="S3" s="13" t="str">
        <f aca="false">IF(A3="","",SUMIFS(Sesiones!$F:$F,Sesiones!$C:$C,A3,Sesiones!$G:$G,"USD")-SUMIFS(Pagos!$H:$H,Pagos!$D:$D,A3,Pagos!$I:$I,"USD"))</f>
        <v/>
      </c>
      <c r="T3" s="12" t="str">
        <f aca="false">IF(A3="","",SUMIFS(Pagos!$H:$H,Pagos!$D:$D,A3,Pagos!$I:$I,"ARS"))</f>
        <v/>
      </c>
      <c r="U3" s="13" t="str">
        <f aca="false">IF(A3="","",SUMIFS(Pagos!$H:$H,Pagos!$D:$D,A3,Pagos!$I:$I,"USD"))</f>
        <v/>
      </c>
    </row>
    <row r="4" customFormat="false" ht="15" hidden="false" customHeight="false" outlineLevel="0" collapsed="false">
      <c r="A4" s="6"/>
      <c r="B4" s="6"/>
      <c r="C4" s="6"/>
      <c r="D4" s="7"/>
      <c r="E4" s="7"/>
      <c r="F4" s="6"/>
      <c r="G4" s="7"/>
      <c r="H4" s="6"/>
      <c r="I4" s="6"/>
      <c r="J4" s="6"/>
      <c r="K4" s="9"/>
      <c r="L4" s="6"/>
      <c r="M4" s="6"/>
      <c r="N4" s="10"/>
      <c r="O4" s="6"/>
      <c r="P4" s="6"/>
      <c r="Q4" s="11" t="str">
        <f aca="false">IF(A4="","",TRIM(B4&amp;" "&amp;C4))</f>
        <v/>
      </c>
      <c r="R4" s="12" t="str">
        <f aca="false">IF(A4="","",SUMIFS(Sesiones!$F:$F,Sesiones!$C:$C,A4,Sesiones!$G:$G,"ARS")-SUMIFS(Pagos!$H:$H,Pagos!$D:$D,A4,Pagos!$I:$I,"ARS"))</f>
        <v/>
      </c>
      <c r="S4" s="13" t="str">
        <f aca="false">IF(A4="","",SUMIFS(Sesiones!$F:$F,Sesiones!$C:$C,A4,Sesiones!$G:$G,"USD")-SUMIFS(Pagos!$H:$H,Pagos!$D:$D,A4,Pagos!$I:$I,"USD"))</f>
        <v/>
      </c>
      <c r="T4" s="12" t="str">
        <f aca="false">IF(A4="","",SUMIFS(Pagos!$H:$H,Pagos!$D:$D,A4,Pagos!$I:$I,"ARS"))</f>
        <v/>
      </c>
      <c r="U4" s="13" t="str">
        <f aca="false">IF(A4="","",SUMIFS(Pagos!$H:$H,Pagos!$D:$D,A4,Pagos!$I:$I,"USD"))</f>
        <v/>
      </c>
    </row>
    <row r="5" customFormat="false" ht="15" hidden="false" customHeight="false" outlineLevel="0" collapsed="false">
      <c r="A5" s="6"/>
      <c r="B5" s="6"/>
      <c r="C5" s="6"/>
      <c r="D5" s="7"/>
      <c r="E5" s="7"/>
      <c r="F5" s="6"/>
      <c r="G5" s="7"/>
      <c r="H5" s="6"/>
      <c r="I5" s="6"/>
      <c r="J5" s="6"/>
      <c r="K5" s="9"/>
      <c r="L5" s="6"/>
      <c r="M5" s="6"/>
      <c r="N5" s="10"/>
      <c r="O5" s="6"/>
      <c r="P5" s="6"/>
      <c r="Q5" s="11" t="str">
        <f aca="false">IF(A5="","",TRIM(B5&amp;" "&amp;C5))</f>
        <v/>
      </c>
      <c r="R5" s="12" t="str">
        <f aca="false">IF(A5="","",SUMIFS(Sesiones!$F:$F,Sesiones!$C:$C,A5,Sesiones!$G:$G,"ARS")-SUMIFS(Pagos!$H:$H,Pagos!$D:$D,A5,Pagos!$I:$I,"ARS"))</f>
        <v/>
      </c>
      <c r="S5" s="13" t="str">
        <f aca="false">IF(A5="","",SUMIFS(Sesiones!$F:$F,Sesiones!$C:$C,A5,Sesiones!$G:$G,"USD")-SUMIFS(Pagos!$H:$H,Pagos!$D:$D,A5,Pagos!$I:$I,"USD"))</f>
        <v/>
      </c>
      <c r="T5" s="12" t="str">
        <f aca="false">IF(A5="","",SUMIFS(Pagos!$H:$H,Pagos!$D:$D,A5,Pagos!$I:$I,"ARS"))</f>
        <v/>
      </c>
      <c r="U5" s="13" t="str">
        <f aca="false">IF(A5="","",SUMIFS(Pagos!$H:$H,Pagos!$D:$D,A5,Pagos!$I:$I,"USD"))</f>
        <v/>
      </c>
    </row>
    <row r="6" customFormat="false" ht="15" hidden="false" customHeight="false" outlineLevel="0" collapsed="false">
      <c r="A6" s="6"/>
      <c r="B6" s="6"/>
      <c r="C6" s="6"/>
      <c r="D6" s="7"/>
      <c r="E6" s="7"/>
      <c r="F6" s="6"/>
      <c r="G6" s="7"/>
      <c r="H6" s="6"/>
      <c r="I6" s="6"/>
      <c r="J6" s="6"/>
      <c r="K6" s="9"/>
      <c r="L6" s="6"/>
      <c r="M6" s="6"/>
      <c r="N6" s="10"/>
      <c r="O6" s="6"/>
      <c r="P6" s="6"/>
      <c r="Q6" s="11" t="str">
        <f aca="false">IF(A6="","",TRIM(B6&amp;" "&amp;C6))</f>
        <v/>
      </c>
      <c r="R6" s="12" t="str">
        <f aca="false">IF(A6="","",SUMIFS(Sesiones!$F:$F,Sesiones!$C:$C,A6,Sesiones!$G:$G,"ARS")-SUMIFS(Pagos!$H:$H,Pagos!$D:$D,A6,Pagos!$I:$I,"ARS"))</f>
        <v/>
      </c>
      <c r="S6" s="13" t="str">
        <f aca="false">IF(A6="","",SUMIFS(Sesiones!$F:$F,Sesiones!$C:$C,A6,Sesiones!$G:$G,"USD")-SUMIFS(Pagos!$H:$H,Pagos!$D:$D,A6,Pagos!$I:$I,"USD"))</f>
        <v/>
      </c>
      <c r="T6" s="12" t="str">
        <f aca="false">IF(A6="","",SUMIFS(Pagos!$H:$H,Pagos!$D:$D,A6,Pagos!$I:$I,"ARS"))</f>
        <v/>
      </c>
      <c r="U6" s="13" t="str">
        <f aca="false">IF(A6="","",SUMIFS(Pagos!$H:$H,Pagos!$D:$D,A6,Pagos!$I:$I,"USD"))</f>
        <v/>
      </c>
    </row>
    <row r="7" customFormat="false" ht="15" hidden="false" customHeight="false" outlineLevel="0" collapsed="false">
      <c r="A7" s="6"/>
      <c r="B7" s="6"/>
      <c r="C7" s="6"/>
      <c r="D7" s="7"/>
      <c r="E7" s="7"/>
      <c r="F7" s="6"/>
      <c r="G7" s="7"/>
      <c r="H7" s="6"/>
      <c r="I7" s="6"/>
      <c r="J7" s="6"/>
      <c r="K7" s="9"/>
      <c r="L7" s="6"/>
      <c r="M7" s="6"/>
      <c r="N7" s="10"/>
      <c r="O7" s="6"/>
      <c r="P7" s="6"/>
      <c r="Q7" s="11" t="str">
        <f aca="false">IF(A7="","",TRIM(B7&amp;" "&amp;C7))</f>
        <v/>
      </c>
      <c r="R7" s="12" t="str">
        <f aca="false">IF(A7="","",SUMIFS(Sesiones!$F:$F,Sesiones!$C:$C,A7,Sesiones!$G:$G,"ARS")-SUMIFS(Pagos!$H:$H,Pagos!$D:$D,A7,Pagos!$I:$I,"ARS"))</f>
        <v/>
      </c>
      <c r="S7" s="13" t="str">
        <f aca="false">IF(A7="","",SUMIFS(Sesiones!$F:$F,Sesiones!$C:$C,A7,Sesiones!$G:$G,"USD")-SUMIFS(Pagos!$H:$H,Pagos!$D:$D,A7,Pagos!$I:$I,"USD"))</f>
        <v/>
      </c>
      <c r="T7" s="12" t="str">
        <f aca="false">IF(A7="","",SUMIFS(Pagos!$H:$H,Pagos!$D:$D,A7,Pagos!$I:$I,"ARS"))</f>
        <v/>
      </c>
      <c r="U7" s="13" t="str">
        <f aca="false">IF(A7="","",SUMIFS(Pagos!$H:$H,Pagos!$D:$D,A7,Pagos!$I:$I,"USD"))</f>
        <v/>
      </c>
    </row>
    <row r="8" customFormat="false" ht="15" hidden="false" customHeight="false" outlineLevel="0" collapsed="false">
      <c r="A8" s="6"/>
      <c r="B8" s="6"/>
      <c r="C8" s="6"/>
      <c r="D8" s="7"/>
      <c r="E8" s="7"/>
      <c r="F8" s="6"/>
      <c r="G8" s="7"/>
      <c r="H8" s="6"/>
      <c r="I8" s="6"/>
      <c r="J8" s="6"/>
      <c r="K8" s="9"/>
      <c r="L8" s="6"/>
      <c r="M8" s="6"/>
      <c r="N8" s="10"/>
      <c r="O8" s="6"/>
      <c r="P8" s="6"/>
      <c r="Q8" s="11" t="str">
        <f aca="false">IF(A8="","",TRIM(B8&amp;" "&amp;C8))</f>
        <v/>
      </c>
      <c r="R8" s="12" t="str">
        <f aca="false">IF(A8="","",SUMIFS(Sesiones!$F:$F,Sesiones!$C:$C,A8,Sesiones!$G:$G,"ARS")-SUMIFS(Pagos!$H:$H,Pagos!$D:$D,A8,Pagos!$I:$I,"ARS"))</f>
        <v/>
      </c>
      <c r="S8" s="13" t="str">
        <f aca="false">IF(A8="","",SUMIFS(Sesiones!$F:$F,Sesiones!$C:$C,A8,Sesiones!$G:$G,"USD")-SUMIFS(Pagos!$H:$H,Pagos!$D:$D,A8,Pagos!$I:$I,"USD"))</f>
        <v/>
      </c>
      <c r="T8" s="12" t="str">
        <f aca="false">IF(A8="","",SUMIFS(Pagos!$H:$H,Pagos!$D:$D,A8,Pagos!$I:$I,"ARS"))</f>
        <v/>
      </c>
      <c r="U8" s="13" t="str">
        <f aca="false">IF(A8="","",SUMIFS(Pagos!$H:$H,Pagos!$D:$D,A8,Pagos!$I:$I,"USD"))</f>
        <v/>
      </c>
    </row>
    <row r="9" customFormat="false" ht="15" hidden="false" customHeight="false" outlineLevel="0" collapsed="false">
      <c r="A9" s="6"/>
      <c r="B9" s="6"/>
      <c r="C9" s="6"/>
      <c r="D9" s="7"/>
      <c r="E9" s="7"/>
      <c r="F9" s="6"/>
      <c r="G9" s="7"/>
      <c r="H9" s="6"/>
      <c r="I9" s="6"/>
      <c r="J9" s="6"/>
      <c r="K9" s="9"/>
      <c r="L9" s="6"/>
      <c r="M9" s="6"/>
      <c r="N9" s="10"/>
      <c r="O9" s="6"/>
      <c r="P9" s="6"/>
      <c r="Q9" s="11" t="str">
        <f aca="false">IF(A9="","",TRIM(B9&amp;" "&amp;C9))</f>
        <v/>
      </c>
      <c r="R9" s="12" t="str">
        <f aca="false">IF(A9="","",SUMIFS(Sesiones!$F:$F,Sesiones!$C:$C,A9,Sesiones!$G:$G,"ARS")-SUMIFS(Pagos!$H:$H,Pagos!$D:$D,A9,Pagos!$I:$I,"ARS"))</f>
        <v/>
      </c>
      <c r="S9" s="13" t="str">
        <f aca="false">IF(A9="","",SUMIFS(Sesiones!$F:$F,Sesiones!$C:$C,A9,Sesiones!$G:$G,"USD")-SUMIFS(Pagos!$H:$H,Pagos!$D:$D,A9,Pagos!$I:$I,"USD"))</f>
        <v/>
      </c>
      <c r="T9" s="12" t="str">
        <f aca="false">IF(A9="","",SUMIFS(Pagos!$H:$H,Pagos!$D:$D,A9,Pagos!$I:$I,"ARS"))</f>
        <v/>
      </c>
      <c r="U9" s="13" t="str">
        <f aca="false">IF(A9="","",SUMIFS(Pagos!$H:$H,Pagos!$D:$D,A9,Pagos!$I:$I,"USD"))</f>
        <v/>
      </c>
    </row>
    <row r="10" customFormat="false" ht="15" hidden="false" customHeight="false" outlineLevel="0" collapsed="false">
      <c r="A10" s="6"/>
      <c r="B10" s="6"/>
      <c r="C10" s="6"/>
      <c r="D10" s="7"/>
      <c r="E10" s="7"/>
      <c r="F10" s="6"/>
      <c r="G10" s="7"/>
      <c r="H10" s="6"/>
      <c r="I10" s="6"/>
      <c r="J10" s="6"/>
      <c r="K10" s="9"/>
      <c r="L10" s="6"/>
      <c r="M10" s="6"/>
      <c r="N10" s="10"/>
      <c r="O10" s="6"/>
      <c r="P10" s="6"/>
      <c r="Q10" s="11" t="str">
        <f aca="false">IF(A10="","",TRIM(B10&amp;" "&amp;C10))</f>
        <v/>
      </c>
      <c r="R10" s="12" t="str">
        <f aca="false">IF(A10="","",SUMIFS(Sesiones!$F:$F,Sesiones!$C:$C,A10,Sesiones!$G:$G,"ARS")-SUMIFS(Pagos!$H:$H,Pagos!$D:$D,A10,Pagos!$I:$I,"ARS"))</f>
        <v/>
      </c>
      <c r="S10" s="13" t="str">
        <f aca="false">IF(A10="","",SUMIFS(Sesiones!$F:$F,Sesiones!$C:$C,A10,Sesiones!$G:$G,"USD")-SUMIFS(Pagos!$H:$H,Pagos!$D:$D,A10,Pagos!$I:$I,"USD"))</f>
        <v/>
      </c>
      <c r="T10" s="12" t="str">
        <f aca="false">IF(A10="","",SUMIFS(Pagos!$H:$H,Pagos!$D:$D,A10,Pagos!$I:$I,"ARS"))</f>
        <v/>
      </c>
      <c r="U10" s="13" t="str">
        <f aca="false">IF(A10="","",SUMIFS(Pagos!$H:$H,Pagos!$D:$D,A10,Pagos!$I:$I,"USD"))</f>
        <v/>
      </c>
    </row>
    <row r="11" customFormat="false" ht="15" hidden="false" customHeight="false" outlineLevel="0" collapsed="false">
      <c r="A11" s="6"/>
      <c r="B11" s="6"/>
      <c r="C11" s="6"/>
      <c r="D11" s="7"/>
      <c r="E11" s="7"/>
      <c r="F11" s="6"/>
      <c r="G11" s="7"/>
      <c r="H11" s="6"/>
      <c r="I11" s="6"/>
      <c r="J11" s="6"/>
      <c r="K11" s="9"/>
      <c r="L11" s="6"/>
      <c r="M11" s="6"/>
      <c r="N11" s="10"/>
      <c r="O11" s="6"/>
      <c r="P11" s="6"/>
      <c r="Q11" s="11" t="str">
        <f aca="false">IF(A11="","",TRIM(B11&amp;" "&amp;C11))</f>
        <v/>
      </c>
      <c r="R11" s="12" t="str">
        <f aca="false">IF(A11="","",SUMIFS(Sesiones!$F:$F,Sesiones!$C:$C,A11,Sesiones!$G:$G,"ARS")-SUMIFS(Pagos!$H:$H,Pagos!$D:$D,A11,Pagos!$I:$I,"ARS"))</f>
        <v/>
      </c>
      <c r="S11" s="13" t="str">
        <f aca="false">IF(A11="","",SUMIFS(Sesiones!$F:$F,Sesiones!$C:$C,A11,Sesiones!$G:$G,"USD")-SUMIFS(Pagos!$H:$H,Pagos!$D:$D,A11,Pagos!$I:$I,"USD"))</f>
        <v/>
      </c>
      <c r="T11" s="12" t="str">
        <f aca="false">IF(A11="","",SUMIFS(Pagos!$H:$H,Pagos!$D:$D,A11,Pagos!$I:$I,"ARS"))</f>
        <v/>
      </c>
      <c r="U11" s="13" t="str">
        <f aca="false">IF(A11="","",SUMIFS(Pagos!$H:$H,Pagos!$D:$D,A11,Pagos!$I:$I,"USD"))</f>
        <v/>
      </c>
    </row>
    <row r="12" customFormat="false" ht="15" hidden="false" customHeight="false" outlineLevel="0" collapsed="false">
      <c r="A12" s="6"/>
      <c r="B12" s="6"/>
      <c r="C12" s="6"/>
      <c r="D12" s="7"/>
      <c r="E12" s="7"/>
      <c r="F12" s="6"/>
      <c r="G12" s="7"/>
      <c r="H12" s="6"/>
      <c r="I12" s="6"/>
      <c r="J12" s="6"/>
      <c r="K12" s="9"/>
      <c r="L12" s="6"/>
      <c r="M12" s="6"/>
      <c r="N12" s="10"/>
      <c r="O12" s="6"/>
      <c r="P12" s="6"/>
      <c r="Q12" s="11" t="str">
        <f aca="false">IF(A12="","",TRIM(B12&amp;" "&amp;C12))</f>
        <v/>
      </c>
      <c r="R12" s="12" t="str">
        <f aca="false">IF(A12="","",SUMIFS(Sesiones!$F:$F,Sesiones!$C:$C,A12,Sesiones!$G:$G,"ARS")-SUMIFS(Pagos!$H:$H,Pagos!$D:$D,A12,Pagos!$I:$I,"ARS"))</f>
        <v/>
      </c>
      <c r="S12" s="13" t="str">
        <f aca="false">IF(A12="","",SUMIFS(Sesiones!$F:$F,Sesiones!$C:$C,A12,Sesiones!$G:$G,"USD")-SUMIFS(Pagos!$H:$H,Pagos!$D:$D,A12,Pagos!$I:$I,"USD"))</f>
        <v/>
      </c>
      <c r="T12" s="12" t="str">
        <f aca="false">IF(A12="","",SUMIFS(Pagos!$H:$H,Pagos!$D:$D,A12,Pagos!$I:$I,"ARS"))</f>
        <v/>
      </c>
      <c r="U12" s="13" t="str">
        <f aca="false">IF(A12="","",SUMIFS(Pagos!$H:$H,Pagos!$D:$D,A12,Pagos!$I:$I,"USD"))</f>
        <v/>
      </c>
    </row>
    <row r="13" customFormat="false" ht="15" hidden="false" customHeight="false" outlineLevel="0" collapsed="false">
      <c r="A13" s="6"/>
      <c r="B13" s="6"/>
      <c r="C13" s="6"/>
      <c r="D13" s="7"/>
      <c r="E13" s="7"/>
      <c r="F13" s="6"/>
      <c r="G13" s="7"/>
      <c r="H13" s="6"/>
      <c r="I13" s="6"/>
      <c r="J13" s="6"/>
      <c r="K13" s="9"/>
      <c r="L13" s="6"/>
      <c r="M13" s="6"/>
      <c r="N13" s="10"/>
      <c r="O13" s="6"/>
      <c r="P13" s="6"/>
      <c r="Q13" s="11" t="str">
        <f aca="false">IF(A13="","",TRIM(B13&amp;" "&amp;C13))</f>
        <v/>
      </c>
      <c r="R13" s="12" t="str">
        <f aca="false">IF(A13="","",SUMIFS(Sesiones!$F:$F,Sesiones!$C:$C,A13,Sesiones!$G:$G,"ARS")-SUMIFS(Pagos!$H:$H,Pagos!$D:$D,A13,Pagos!$I:$I,"ARS"))</f>
        <v/>
      </c>
      <c r="S13" s="13" t="str">
        <f aca="false">IF(A13="","",SUMIFS(Sesiones!$F:$F,Sesiones!$C:$C,A13,Sesiones!$G:$G,"USD")-SUMIFS(Pagos!$H:$H,Pagos!$D:$D,A13,Pagos!$I:$I,"USD"))</f>
        <v/>
      </c>
      <c r="T13" s="12" t="str">
        <f aca="false">IF(A13="","",SUMIFS(Pagos!$H:$H,Pagos!$D:$D,A13,Pagos!$I:$I,"ARS"))</f>
        <v/>
      </c>
      <c r="U13" s="13" t="str">
        <f aca="false">IF(A13="","",SUMIFS(Pagos!$H:$H,Pagos!$D:$D,A13,Pagos!$I:$I,"USD"))</f>
        <v/>
      </c>
    </row>
    <row r="14" customFormat="false" ht="15" hidden="false" customHeight="false" outlineLevel="0" collapsed="false">
      <c r="A14" s="6"/>
      <c r="B14" s="6"/>
      <c r="C14" s="6"/>
      <c r="D14" s="7"/>
      <c r="E14" s="7"/>
      <c r="F14" s="6"/>
      <c r="G14" s="7"/>
      <c r="H14" s="6"/>
      <c r="I14" s="6"/>
      <c r="J14" s="6"/>
      <c r="K14" s="9"/>
      <c r="L14" s="6"/>
      <c r="M14" s="6"/>
      <c r="N14" s="10"/>
      <c r="O14" s="6"/>
      <c r="P14" s="6"/>
      <c r="Q14" s="11" t="str">
        <f aca="false">IF(A14="","",TRIM(B14&amp;" "&amp;C14))</f>
        <v/>
      </c>
      <c r="R14" s="12" t="str">
        <f aca="false">IF(A14="","",SUMIFS(Sesiones!$F:$F,Sesiones!$C:$C,A14,Sesiones!$G:$G,"ARS")-SUMIFS(Pagos!$H:$H,Pagos!$D:$D,A14,Pagos!$I:$I,"ARS"))</f>
        <v/>
      </c>
      <c r="S14" s="13" t="str">
        <f aca="false">IF(A14="","",SUMIFS(Sesiones!$F:$F,Sesiones!$C:$C,A14,Sesiones!$G:$G,"USD")-SUMIFS(Pagos!$H:$H,Pagos!$D:$D,A14,Pagos!$I:$I,"USD"))</f>
        <v/>
      </c>
      <c r="T14" s="12" t="str">
        <f aca="false">IF(A14="","",SUMIFS(Pagos!$H:$H,Pagos!$D:$D,A14,Pagos!$I:$I,"ARS"))</f>
        <v/>
      </c>
      <c r="U14" s="13" t="str">
        <f aca="false">IF(A14="","",SUMIFS(Pagos!$H:$H,Pagos!$D:$D,A14,Pagos!$I:$I,"USD"))</f>
        <v/>
      </c>
    </row>
    <row r="15" customFormat="false" ht="15" hidden="false" customHeight="false" outlineLevel="0" collapsed="false">
      <c r="A15" s="6"/>
      <c r="B15" s="6"/>
      <c r="C15" s="6"/>
      <c r="D15" s="7"/>
      <c r="E15" s="7"/>
      <c r="F15" s="6"/>
      <c r="G15" s="7"/>
      <c r="H15" s="6"/>
      <c r="I15" s="6"/>
      <c r="J15" s="6"/>
      <c r="K15" s="9"/>
      <c r="L15" s="6"/>
      <c r="M15" s="6"/>
      <c r="N15" s="10"/>
      <c r="O15" s="6"/>
      <c r="P15" s="6"/>
      <c r="Q15" s="11" t="str">
        <f aca="false">IF(A15="","",TRIM(B15&amp;" "&amp;C15))</f>
        <v/>
      </c>
      <c r="R15" s="12" t="str">
        <f aca="false">IF(A15="","",SUMIFS(Sesiones!$F:$F,Sesiones!$C:$C,A15,Sesiones!$G:$G,"ARS")-SUMIFS(Pagos!$H:$H,Pagos!$D:$D,A15,Pagos!$I:$I,"ARS"))</f>
        <v/>
      </c>
      <c r="S15" s="13" t="str">
        <f aca="false">IF(A15="","",SUMIFS(Sesiones!$F:$F,Sesiones!$C:$C,A15,Sesiones!$G:$G,"USD")-SUMIFS(Pagos!$H:$H,Pagos!$D:$D,A15,Pagos!$I:$I,"USD"))</f>
        <v/>
      </c>
      <c r="T15" s="12" t="str">
        <f aca="false">IF(A15="","",SUMIFS(Pagos!$H:$H,Pagos!$D:$D,A15,Pagos!$I:$I,"ARS"))</f>
        <v/>
      </c>
      <c r="U15" s="13" t="str">
        <f aca="false">IF(A15="","",SUMIFS(Pagos!$H:$H,Pagos!$D:$D,A15,Pagos!$I:$I,"USD"))</f>
        <v/>
      </c>
    </row>
    <row r="16" customFormat="false" ht="15" hidden="false" customHeight="false" outlineLevel="0" collapsed="false">
      <c r="A16" s="6"/>
      <c r="B16" s="6"/>
      <c r="C16" s="6"/>
      <c r="D16" s="7"/>
      <c r="E16" s="7"/>
      <c r="F16" s="6"/>
      <c r="G16" s="7"/>
      <c r="H16" s="6"/>
      <c r="I16" s="6"/>
      <c r="J16" s="6"/>
      <c r="K16" s="9"/>
      <c r="L16" s="6"/>
      <c r="M16" s="6"/>
      <c r="N16" s="10"/>
      <c r="O16" s="6"/>
      <c r="P16" s="6"/>
      <c r="Q16" s="11" t="str">
        <f aca="false">IF(A16="","",TRIM(B16&amp;" "&amp;C16))</f>
        <v/>
      </c>
      <c r="R16" s="12" t="str">
        <f aca="false">IF(A16="","",SUMIFS(Sesiones!$F:$F,Sesiones!$C:$C,A16,Sesiones!$G:$G,"ARS")-SUMIFS(Pagos!$H:$H,Pagos!$D:$D,A16,Pagos!$I:$I,"ARS"))</f>
        <v/>
      </c>
      <c r="S16" s="13" t="str">
        <f aca="false">IF(A16="","",SUMIFS(Sesiones!$F:$F,Sesiones!$C:$C,A16,Sesiones!$G:$G,"USD")-SUMIFS(Pagos!$H:$H,Pagos!$D:$D,A16,Pagos!$I:$I,"USD"))</f>
        <v/>
      </c>
      <c r="T16" s="12" t="str">
        <f aca="false">IF(A16="","",SUMIFS(Pagos!$H:$H,Pagos!$D:$D,A16,Pagos!$I:$I,"ARS"))</f>
        <v/>
      </c>
      <c r="U16" s="13" t="str">
        <f aca="false">IF(A16="","",SUMIFS(Pagos!$H:$H,Pagos!$D:$D,A16,Pagos!$I:$I,"USD"))</f>
        <v/>
      </c>
    </row>
    <row r="17" customFormat="false" ht="15" hidden="false" customHeight="false" outlineLevel="0" collapsed="false">
      <c r="A17" s="6"/>
      <c r="B17" s="6"/>
      <c r="C17" s="6"/>
      <c r="D17" s="7"/>
      <c r="E17" s="7"/>
      <c r="F17" s="6"/>
      <c r="G17" s="7"/>
      <c r="H17" s="6"/>
      <c r="I17" s="6"/>
      <c r="J17" s="6"/>
      <c r="K17" s="9"/>
      <c r="L17" s="6"/>
      <c r="M17" s="6"/>
      <c r="N17" s="10"/>
      <c r="O17" s="6"/>
      <c r="P17" s="6"/>
      <c r="Q17" s="11" t="str">
        <f aca="false">IF(A17="","",TRIM(B17&amp;" "&amp;C17))</f>
        <v/>
      </c>
      <c r="R17" s="12" t="str">
        <f aca="false">IF(A17="","",SUMIFS(Sesiones!$F:$F,Sesiones!$C:$C,A17,Sesiones!$G:$G,"ARS")-SUMIFS(Pagos!$H:$H,Pagos!$D:$D,A17,Pagos!$I:$I,"ARS"))</f>
        <v/>
      </c>
      <c r="S17" s="13" t="str">
        <f aca="false">IF(A17="","",SUMIFS(Sesiones!$F:$F,Sesiones!$C:$C,A17,Sesiones!$G:$G,"USD")-SUMIFS(Pagos!$H:$H,Pagos!$D:$D,A17,Pagos!$I:$I,"USD"))</f>
        <v/>
      </c>
      <c r="T17" s="12" t="str">
        <f aca="false">IF(A17="","",SUMIFS(Pagos!$H:$H,Pagos!$D:$D,A17,Pagos!$I:$I,"ARS"))</f>
        <v/>
      </c>
      <c r="U17" s="13" t="str">
        <f aca="false">IF(A17="","",SUMIFS(Pagos!$H:$H,Pagos!$D:$D,A17,Pagos!$I:$I,"USD"))</f>
        <v/>
      </c>
    </row>
    <row r="18" customFormat="false" ht="15" hidden="false" customHeight="false" outlineLevel="0" collapsed="false">
      <c r="A18" s="6"/>
      <c r="B18" s="6"/>
      <c r="C18" s="6"/>
      <c r="D18" s="7"/>
      <c r="E18" s="7"/>
      <c r="F18" s="6"/>
      <c r="G18" s="7"/>
      <c r="H18" s="6"/>
      <c r="I18" s="6"/>
      <c r="J18" s="6"/>
      <c r="K18" s="9"/>
      <c r="L18" s="6"/>
      <c r="M18" s="6"/>
      <c r="N18" s="10"/>
      <c r="O18" s="6"/>
      <c r="P18" s="6"/>
      <c r="Q18" s="11" t="str">
        <f aca="false">IF(A18="","",TRIM(B18&amp;" "&amp;C18))</f>
        <v/>
      </c>
      <c r="R18" s="12" t="str">
        <f aca="false">IF(A18="","",SUMIFS(Sesiones!$F:$F,Sesiones!$C:$C,A18,Sesiones!$G:$G,"ARS")-SUMIFS(Pagos!$H:$H,Pagos!$D:$D,A18,Pagos!$I:$I,"ARS"))</f>
        <v/>
      </c>
      <c r="S18" s="13" t="str">
        <f aca="false">IF(A18="","",SUMIFS(Sesiones!$F:$F,Sesiones!$C:$C,A18,Sesiones!$G:$G,"USD")-SUMIFS(Pagos!$H:$H,Pagos!$D:$D,A18,Pagos!$I:$I,"USD"))</f>
        <v/>
      </c>
      <c r="T18" s="12" t="str">
        <f aca="false">IF(A18="","",SUMIFS(Pagos!$H:$H,Pagos!$D:$D,A18,Pagos!$I:$I,"ARS"))</f>
        <v/>
      </c>
      <c r="U18" s="13" t="str">
        <f aca="false">IF(A18="","",SUMIFS(Pagos!$H:$H,Pagos!$D:$D,A18,Pagos!$I:$I,"USD"))</f>
        <v/>
      </c>
    </row>
    <row r="19" customFormat="false" ht="15" hidden="false" customHeight="false" outlineLevel="0" collapsed="false">
      <c r="A19" s="6"/>
      <c r="B19" s="6"/>
      <c r="C19" s="6"/>
      <c r="D19" s="7"/>
      <c r="E19" s="7"/>
      <c r="F19" s="6"/>
      <c r="G19" s="7"/>
      <c r="H19" s="6"/>
      <c r="I19" s="6"/>
      <c r="J19" s="6"/>
      <c r="K19" s="9"/>
      <c r="L19" s="6"/>
      <c r="M19" s="6"/>
      <c r="N19" s="10"/>
      <c r="O19" s="6"/>
      <c r="P19" s="6"/>
      <c r="Q19" s="11" t="str">
        <f aca="false">IF(A19="","",TRIM(B19&amp;" "&amp;C19))</f>
        <v/>
      </c>
      <c r="R19" s="12" t="str">
        <f aca="false">IF(A19="","",SUMIFS(Sesiones!$F:$F,Sesiones!$C:$C,A19,Sesiones!$G:$G,"ARS")-SUMIFS(Pagos!$H:$H,Pagos!$D:$D,A19,Pagos!$I:$I,"ARS"))</f>
        <v/>
      </c>
      <c r="S19" s="13" t="str">
        <f aca="false">IF(A19="","",SUMIFS(Sesiones!$F:$F,Sesiones!$C:$C,A19,Sesiones!$G:$G,"USD")-SUMIFS(Pagos!$H:$H,Pagos!$D:$D,A19,Pagos!$I:$I,"USD"))</f>
        <v/>
      </c>
      <c r="T19" s="12" t="str">
        <f aca="false">IF(A19="","",SUMIFS(Pagos!$H:$H,Pagos!$D:$D,A19,Pagos!$I:$I,"ARS"))</f>
        <v/>
      </c>
      <c r="U19" s="13" t="str">
        <f aca="false">IF(A19="","",SUMIFS(Pagos!$H:$H,Pagos!$D:$D,A19,Pagos!$I:$I,"USD"))</f>
        <v/>
      </c>
    </row>
    <row r="20" customFormat="false" ht="15" hidden="false" customHeight="false" outlineLevel="0" collapsed="false">
      <c r="A20" s="6"/>
      <c r="B20" s="6"/>
      <c r="C20" s="6"/>
      <c r="D20" s="7"/>
      <c r="E20" s="7"/>
      <c r="F20" s="6"/>
      <c r="G20" s="7"/>
      <c r="H20" s="6"/>
      <c r="I20" s="6"/>
      <c r="J20" s="6"/>
      <c r="K20" s="9"/>
      <c r="L20" s="6"/>
      <c r="M20" s="6"/>
      <c r="N20" s="10"/>
      <c r="O20" s="6"/>
      <c r="P20" s="6"/>
      <c r="Q20" s="11" t="str">
        <f aca="false">IF(A20="","",TRIM(B20&amp;" "&amp;C20))</f>
        <v/>
      </c>
      <c r="R20" s="12" t="str">
        <f aca="false">IF(A20="","",SUMIFS(Sesiones!$F:$F,Sesiones!$C:$C,A20,Sesiones!$G:$G,"ARS")-SUMIFS(Pagos!$H:$H,Pagos!$D:$D,A20,Pagos!$I:$I,"ARS"))</f>
        <v/>
      </c>
      <c r="S20" s="13" t="str">
        <f aca="false">IF(A20="","",SUMIFS(Sesiones!$F:$F,Sesiones!$C:$C,A20,Sesiones!$G:$G,"USD")-SUMIFS(Pagos!$H:$H,Pagos!$D:$D,A20,Pagos!$I:$I,"USD"))</f>
        <v/>
      </c>
      <c r="T20" s="12" t="str">
        <f aca="false">IF(A20="","",SUMIFS(Pagos!$H:$H,Pagos!$D:$D,A20,Pagos!$I:$I,"ARS"))</f>
        <v/>
      </c>
      <c r="U20" s="13" t="str">
        <f aca="false">IF(A20="","",SUMIFS(Pagos!$H:$H,Pagos!$D:$D,A20,Pagos!$I:$I,"USD"))</f>
        <v/>
      </c>
    </row>
    <row r="21" customFormat="false" ht="15" hidden="false" customHeight="false" outlineLevel="0" collapsed="false">
      <c r="A21" s="6"/>
      <c r="B21" s="6"/>
      <c r="C21" s="6"/>
      <c r="D21" s="7"/>
      <c r="E21" s="7"/>
      <c r="F21" s="6"/>
      <c r="G21" s="7"/>
      <c r="H21" s="6"/>
      <c r="I21" s="6"/>
      <c r="J21" s="6"/>
      <c r="K21" s="9"/>
      <c r="L21" s="6"/>
      <c r="M21" s="6"/>
      <c r="N21" s="10"/>
      <c r="O21" s="6"/>
      <c r="P21" s="6"/>
      <c r="Q21" s="11" t="str">
        <f aca="false">IF(A21="","",TRIM(B21&amp;" "&amp;C21))</f>
        <v/>
      </c>
      <c r="R21" s="12" t="str">
        <f aca="false">IF(A21="","",SUMIFS(Sesiones!$F:$F,Sesiones!$C:$C,A21,Sesiones!$G:$G,"ARS")-SUMIFS(Pagos!$H:$H,Pagos!$D:$D,A21,Pagos!$I:$I,"ARS"))</f>
        <v/>
      </c>
      <c r="S21" s="13" t="str">
        <f aca="false">IF(A21="","",SUMIFS(Sesiones!$F:$F,Sesiones!$C:$C,A21,Sesiones!$G:$G,"USD")-SUMIFS(Pagos!$H:$H,Pagos!$D:$D,A21,Pagos!$I:$I,"USD"))</f>
        <v/>
      </c>
      <c r="T21" s="12" t="str">
        <f aca="false">IF(A21="","",SUMIFS(Pagos!$H:$H,Pagos!$D:$D,A21,Pagos!$I:$I,"ARS"))</f>
        <v/>
      </c>
      <c r="U21" s="13" t="str">
        <f aca="false">IF(A21="","",SUMIFS(Pagos!$H:$H,Pagos!$D:$D,A21,Pagos!$I:$I,"USD"))</f>
        <v/>
      </c>
    </row>
    <row r="22" customFormat="false" ht="15" hidden="false" customHeight="false" outlineLevel="0" collapsed="false">
      <c r="A22" s="6"/>
      <c r="B22" s="6"/>
      <c r="C22" s="6"/>
      <c r="D22" s="7"/>
      <c r="E22" s="7"/>
      <c r="F22" s="6"/>
      <c r="G22" s="7"/>
      <c r="H22" s="6"/>
      <c r="I22" s="6"/>
      <c r="J22" s="6"/>
      <c r="K22" s="9"/>
      <c r="L22" s="6"/>
      <c r="M22" s="6"/>
      <c r="N22" s="10"/>
      <c r="O22" s="6"/>
      <c r="P22" s="6"/>
      <c r="Q22" s="11" t="str">
        <f aca="false">IF(A22="","",TRIM(B22&amp;" "&amp;C22))</f>
        <v/>
      </c>
      <c r="R22" s="12" t="str">
        <f aca="false">IF(A22="","",SUMIFS(Sesiones!$F:$F,Sesiones!$C:$C,A22,Sesiones!$G:$G,"ARS")-SUMIFS(Pagos!$H:$H,Pagos!$D:$D,A22,Pagos!$I:$I,"ARS"))</f>
        <v/>
      </c>
      <c r="S22" s="13" t="str">
        <f aca="false">IF(A22="","",SUMIFS(Sesiones!$F:$F,Sesiones!$C:$C,A22,Sesiones!$G:$G,"USD")-SUMIFS(Pagos!$H:$H,Pagos!$D:$D,A22,Pagos!$I:$I,"USD"))</f>
        <v/>
      </c>
      <c r="T22" s="12" t="str">
        <f aca="false">IF(A22="","",SUMIFS(Pagos!$H:$H,Pagos!$D:$D,A22,Pagos!$I:$I,"ARS"))</f>
        <v/>
      </c>
      <c r="U22" s="13" t="str">
        <f aca="false">IF(A22="","",SUMIFS(Pagos!$H:$H,Pagos!$D:$D,A22,Pagos!$I:$I,"USD"))</f>
        <v/>
      </c>
    </row>
    <row r="23" customFormat="false" ht="15" hidden="false" customHeight="false" outlineLevel="0" collapsed="false">
      <c r="A23" s="6"/>
      <c r="B23" s="6"/>
      <c r="C23" s="6"/>
      <c r="D23" s="7"/>
      <c r="E23" s="7"/>
      <c r="F23" s="6"/>
      <c r="G23" s="7"/>
      <c r="H23" s="6"/>
      <c r="I23" s="6"/>
      <c r="J23" s="6"/>
      <c r="K23" s="9"/>
      <c r="L23" s="6"/>
      <c r="M23" s="6"/>
      <c r="N23" s="10"/>
      <c r="O23" s="6"/>
      <c r="P23" s="6"/>
      <c r="Q23" s="11" t="str">
        <f aca="false">IF(A23="","",TRIM(B23&amp;" "&amp;C23))</f>
        <v/>
      </c>
      <c r="R23" s="12" t="str">
        <f aca="false">IF(A23="","",SUMIFS(Sesiones!$F:$F,Sesiones!$C:$C,A23,Sesiones!$G:$G,"ARS")-SUMIFS(Pagos!$H:$H,Pagos!$D:$D,A23,Pagos!$I:$I,"ARS"))</f>
        <v/>
      </c>
      <c r="S23" s="13" t="str">
        <f aca="false">IF(A23="","",SUMIFS(Sesiones!$F:$F,Sesiones!$C:$C,A23,Sesiones!$G:$G,"USD")-SUMIFS(Pagos!$H:$H,Pagos!$D:$D,A23,Pagos!$I:$I,"USD"))</f>
        <v/>
      </c>
      <c r="T23" s="12" t="str">
        <f aca="false">IF(A23="","",SUMIFS(Pagos!$H:$H,Pagos!$D:$D,A23,Pagos!$I:$I,"ARS"))</f>
        <v/>
      </c>
      <c r="U23" s="13" t="str">
        <f aca="false">IF(A23="","",SUMIFS(Pagos!$H:$H,Pagos!$D:$D,A23,Pagos!$I:$I,"USD"))</f>
        <v/>
      </c>
    </row>
    <row r="24" customFormat="false" ht="15" hidden="false" customHeight="false" outlineLevel="0" collapsed="false">
      <c r="A24" s="6"/>
      <c r="B24" s="6"/>
      <c r="C24" s="6"/>
      <c r="D24" s="7"/>
      <c r="E24" s="7"/>
      <c r="F24" s="6"/>
      <c r="G24" s="7"/>
      <c r="H24" s="6"/>
      <c r="I24" s="6"/>
      <c r="J24" s="6"/>
      <c r="K24" s="9"/>
      <c r="L24" s="6"/>
      <c r="M24" s="6"/>
      <c r="N24" s="10"/>
      <c r="O24" s="6"/>
      <c r="P24" s="6"/>
      <c r="Q24" s="11" t="str">
        <f aca="false">IF(A24="","",TRIM(B24&amp;" "&amp;C24))</f>
        <v/>
      </c>
      <c r="R24" s="12" t="str">
        <f aca="false">IF(A24="","",SUMIFS(Sesiones!$F:$F,Sesiones!$C:$C,A24,Sesiones!$G:$G,"ARS")-SUMIFS(Pagos!$H:$H,Pagos!$D:$D,A24,Pagos!$I:$I,"ARS"))</f>
        <v/>
      </c>
      <c r="S24" s="13" t="str">
        <f aca="false">IF(A24="","",SUMIFS(Sesiones!$F:$F,Sesiones!$C:$C,A24,Sesiones!$G:$G,"USD")-SUMIFS(Pagos!$H:$H,Pagos!$D:$D,A24,Pagos!$I:$I,"USD"))</f>
        <v/>
      </c>
      <c r="T24" s="12" t="str">
        <f aca="false">IF(A24="","",SUMIFS(Pagos!$H:$H,Pagos!$D:$D,A24,Pagos!$I:$I,"ARS"))</f>
        <v/>
      </c>
      <c r="U24" s="13" t="str">
        <f aca="false">IF(A24="","",SUMIFS(Pagos!$H:$H,Pagos!$D:$D,A24,Pagos!$I:$I,"USD"))</f>
        <v/>
      </c>
    </row>
    <row r="25" customFormat="false" ht="15" hidden="false" customHeight="false" outlineLevel="0" collapsed="false">
      <c r="A25" s="6"/>
      <c r="B25" s="6"/>
      <c r="C25" s="6"/>
      <c r="D25" s="7"/>
      <c r="E25" s="7"/>
      <c r="F25" s="6"/>
      <c r="G25" s="7"/>
      <c r="H25" s="6"/>
      <c r="I25" s="6"/>
      <c r="J25" s="6"/>
      <c r="K25" s="9"/>
      <c r="L25" s="6"/>
      <c r="M25" s="6"/>
      <c r="N25" s="10"/>
      <c r="O25" s="6"/>
      <c r="P25" s="6"/>
      <c r="Q25" s="11" t="str">
        <f aca="false">IF(A25="","",TRIM(B25&amp;" "&amp;C25))</f>
        <v/>
      </c>
      <c r="R25" s="12" t="str">
        <f aca="false">IF(A25="","",SUMIFS(Sesiones!$F:$F,Sesiones!$C:$C,A25,Sesiones!$G:$G,"ARS")-SUMIFS(Pagos!$H:$H,Pagos!$D:$D,A25,Pagos!$I:$I,"ARS"))</f>
        <v/>
      </c>
      <c r="S25" s="13" t="str">
        <f aca="false">IF(A25="","",SUMIFS(Sesiones!$F:$F,Sesiones!$C:$C,A25,Sesiones!$G:$G,"USD")-SUMIFS(Pagos!$H:$H,Pagos!$D:$D,A25,Pagos!$I:$I,"USD"))</f>
        <v/>
      </c>
      <c r="T25" s="12" t="str">
        <f aca="false">IF(A25="","",SUMIFS(Pagos!$H:$H,Pagos!$D:$D,A25,Pagos!$I:$I,"ARS"))</f>
        <v/>
      </c>
      <c r="U25" s="13" t="str">
        <f aca="false">IF(A25="","",SUMIFS(Pagos!$H:$H,Pagos!$D:$D,A25,Pagos!$I:$I,"USD"))</f>
        <v/>
      </c>
    </row>
    <row r="26" customFormat="false" ht="15" hidden="false" customHeight="false" outlineLevel="0" collapsed="false">
      <c r="A26" s="6"/>
      <c r="B26" s="6"/>
      <c r="C26" s="6"/>
      <c r="D26" s="7"/>
      <c r="E26" s="7"/>
      <c r="F26" s="6"/>
      <c r="G26" s="7"/>
      <c r="H26" s="6"/>
      <c r="I26" s="6"/>
      <c r="J26" s="6"/>
      <c r="K26" s="9"/>
      <c r="L26" s="6"/>
      <c r="M26" s="6"/>
      <c r="N26" s="10"/>
      <c r="O26" s="6"/>
      <c r="P26" s="6"/>
      <c r="Q26" s="11" t="str">
        <f aca="false">IF(A26="","",TRIM(B26&amp;" "&amp;C26))</f>
        <v/>
      </c>
      <c r="R26" s="12" t="str">
        <f aca="false">IF(A26="","",SUMIFS(Sesiones!$F:$F,Sesiones!$C:$C,A26,Sesiones!$G:$G,"ARS")-SUMIFS(Pagos!$H:$H,Pagos!$D:$D,A26,Pagos!$I:$I,"ARS"))</f>
        <v/>
      </c>
      <c r="S26" s="13" t="str">
        <f aca="false">IF(A26="","",SUMIFS(Sesiones!$F:$F,Sesiones!$C:$C,A26,Sesiones!$G:$G,"USD")-SUMIFS(Pagos!$H:$H,Pagos!$D:$D,A26,Pagos!$I:$I,"USD"))</f>
        <v/>
      </c>
      <c r="T26" s="12" t="str">
        <f aca="false">IF(A26="","",SUMIFS(Pagos!$H:$H,Pagos!$D:$D,A26,Pagos!$I:$I,"ARS"))</f>
        <v/>
      </c>
      <c r="U26" s="13" t="str">
        <f aca="false">IF(A26="","",SUMIFS(Pagos!$H:$H,Pagos!$D:$D,A26,Pagos!$I:$I,"USD"))</f>
        <v/>
      </c>
    </row>
    <row r="27" customFormat="false" ht="15" hidden="false" customHeight="false" outlineLevel="0" collapsed="false">
      <c r="A27" s="6"/>
      <c r="B27" s="6"/>
      <c r="C27" s="6"/>
      <c r="D27" s="7"/>
      <c r="E27" s="7"/>
      <c r="F27" s="6"/>
      <c r="G27" s="7"/>
      <c r="H27" s="6"/>
      <c r="I27" s="6"/>
      <c r="J27" s="6"/>
      <c r="K27" s="9"/>
      <c r="L27" s="6"/>
      <c r="M27" s="6"/>
      <c r="N27" s="10"/>
      <c r="O27" s="6"/>
      <c r="P27" s="6"/>
      <c r="Q27" s="11" t="str">
        <f aca="false">IF(A27="","",TRIM(B27&amp;" "&amp;C27))</f>
        <v/>
      </c>
      <c r="R27" s="12" t="str">
        <f aca="false">IF(A27="","",SUMIFS(Sesiones!$F:$F,Sesiones!$C:$C,A27,Sesiones!$G:$G,"ARS")-SUMIFS(Pagos!$H:$H,Pagos!$D:$D,A27,Pagos!$I:$I,"ARS"))</f>
        <v/>
      </c>
      <c r="S27" s="13" t="str">
        <f aca="false">IF(A27="","",SUMIFS(Sesiones!$F:$F,Sesiones!$C:$C,A27,Sesiones!$G:$G,"USD")-SUMIFS(Pagos!$H:$H,Pagos!$D:$D,A27,Pagos!$I:$I,"USD"))</f>
        <v/>
      </c>
      <c r="T27" s="12" t="str">
        <f aca="false">IF(A27="","",SUMIFS(Pagos!$H:$H,Pagos!$D:$D,A27,Pagos!$I:$I,"ARS"))</f>
        <v/>
      </c>
      <c r="U27" s="13" t="str">
        <f aca="false">IF(A27="","",SUMIFS(Pagos!$H:$H,Pagos!$D:$D,A27,Pagos!$I:$I,"USD"))</f>
        <v/>
      </c>
    </row>
    <row r="28" customFormat="false" ht="15" hidden="false" customHeight="false" outlineLevel="0" collapsed="false">
      <c r="A28" s="6"/>
      <c r="B28" s="6"/>
      <c r="C28" s="6"/>
      <c r="D28" s="7"/>
      <c r="E28" s="7"/>
      <c r="F28" s="6"/>
      <c r="G28" s="7"/>
      <c r="H28" s="6"/>
      <c r="I28" s="6"/>
      <c r="J28" s="6"/>
      <c r="K28" s="9"/>
      <c r="L28" s="6"/>
      <c r="M28" s="6"/>
      <c r="N28" s="10"/>
      <c r="O28" s="6"/>
      <c r="P28" s="6"/>
      <c r="Q28" s="11" t="str">
        <f aca="false">IF(A28="","",TRIM(B28&amp;" "&amp;C28))</f>
        <v/>
      </c>
      <c r="R28" s="12" t="str">
        <f aca="false">IF(A28="","",SUMIFS(Sesiones!$F:$F,Sesiones!$C:$C,A28,Sesiones!$G:$G,"ARS")-SUMIFS(Pagos!$H:$H,Pagos!$D:$D,A28,Pagos!$I:$I,"ARS"))</f>
        <v/>
      </c>
      <c r="S28" s="13" t="str">
        <f aca="false">IF(A28="","",SUMIFS(Sesiones!$F:$F,Sesiones!$C:$C,A28,Sesiones!$G:$G,"USD")-SUMIFS(Pagos!$H:$H,Pagos!$D:$D,A28,Pagos!$I:$I,"USD"))</f>
        <v/>
      </c>
      <c r="T28" s="12" t="str">
        <f aca="false">IF(A28="","",SUMIFS(Pagos!$H:$H,Pagos!$D:$D,A28,Pagos!$I:$I,"ARS"))</f>
        <v/>
      </c>
      <c r="U28" s="13" t="str">
        <f aca="false">IF(A28="","",SUMIFS(Pagos!$H:$H,Pagos!$D:$D,A28,Pagos!$I:$I,"USD"))</f>
        <v/>
      </c>
    </row>
    <row r="29" customFormat="false" ht="15" hidden="false" customHeight="false" outlineLevel="0" collapsed="false">
      <c r="A29" s="6"/>
      <c r="B29" s="6"/>
      <c r="C29" s="6"/>
      <c r="D29" s="7"/>
      <c r="E29" s="7"/>
      <c r="F29" s="6"/>
      <c r="G29" s="7"/>
      <c r="H29" s="6"/>
      <c r="I29" s="6"/>
      <c r="J29" s="6"/>
      <c r="K29" s="9"/>
      <c r="L29" s="6"/>
      <c r="M29" s="6"/>
      <c r="N29" s="10"/>
      <c r="O29" s="6"/>
      <c r="P29" s="6"/>
      <c r="Q29" s="11" t="str">
        <f aca="false">IF(A29="","",TRIM(B29&amp;" "&amp;C29))</f>
        <v/>
      </c>
      <c r="R29" s="12" t="str">
        <f aca="false">IF(A29="","",SUMIFS(Sesiones!$F:$F,Sesiones!$C:$C,A29,Sesiones!$G:$G,"ARS")-SUMIFS(Pagos!$H:$H,Pagos!$D:$D,A29,Pagos!$I:$I,"ARS"))</f>
        <v/>
      </c>
      <c r="S29" s="13" t="str">
        <f aca="false">IF(A29="","",SUMIFS(Sesiones!$F:$F,Sesiones!$C:$C,A29,Sesiones!$G:$G,"USD")-SUMIFS(Pagos!$H:$H,Pagos!$D:$D,A29,Pagos!$I:$I,"USD"))</f>
        <v/>
      </c>
      <c r="T29" s="12" t="str">
        <f aca="false">IF(A29="","",SUMIFS(Pagos!$H:$H,Pagos!$D:$D,A29,Pagos!$I:$I,"ARS"))</f>
        <v/>
      </c>
      <c r="U29" s="13" t="str">
        <f aca="false">IF(A29="","",SUMIFS(Pagos!$H:$H,Pagos!$D:$D,A29,Pagos!$I:$I,"USD"))</f>
        <v/>
      </c>
    </row>
    <row r="30" customFormat="false" ht="15" hidden="false" customHeight="false" outlineLevel="0" collapsed="false">
      <c r="A30" s="6"/>
      <c r="B30" s="6"/>
      <c r="C30" s="6"/>
      <c r="D30" s="7"/>
      <c r="E30" s="7"/>
      <c r="F30" s="6"/>
      <c r="G30" s="7"/>
      <c r="H30" s="6"/>
      <c r="I30" s="6"/>
      <c r="J30" s="6"/>
      <c r="K30" s="9"/>
      <c r="L30" s="6"/>
      <c r="M30" s="6"/>
      <c r="N30" s="10"/>
      <c r="O30" s="6"/>
      <c r="P30" s="6"/>
      <c r="Q30" s="11" t="str">
        <f aca="false">IF(A30="","",TRIM(B30&amp;" "&amp;C30))</f>
        <v/>
      </c>
      <c r="R30" s="12" t="str">
        <f aca="false">IF(A30="","",SUMIFS(Sesiones!$F:$F,Sesiones!$C:$C,A30,Sesiones!$G:$G,"ARS")-SUMIFS(Pagos!$H:$H,Pagos!$D:$D,A30,Pagos!$I:$I,"ARS"))</f>
        <v/>
      </c>
      <c r="S30" s="13" t="str">
        <f aca="false">IF(A30="","",SUMIFS(Sesiones!$F:$F,Sesiones!$C:$C,A30,Sesiones!$G:$G,"USD")-SUMIFS(Pagos!$H:$H,Pagos!$D:$D,A30,Pagos!$I:$I,"USD"))</f>
        <v/>
      </c>
      <c r="T30" s="12" t="str">
        <f aca="false">IF(A30="","",SUMIFS(Pagos!$H:$H,Pagos!$D:$D,A30,Pagos!$I:$I,"ARS"))</f>
        <v/>
      </c>
      <c r="U30" s="13" t="str">
        <f aca="false">IF(A30="","",SUMIFS(Pagos!$H:$H,Pagos!$D:$D,A30,Pagos!$I:$I,"USD"))</f>
        <v/>
      </c>
    </row>
    <row r="31" customFormat="false" ht="15" hidden="false" customHeight="false" outlineLevel="0" collapsed="false">
      <c r="A31" s="6"/>
      <c r="B31" s="6"/>
      <c r="C31" s="6"/>
      <c r="D31" s="7"/>
      <c r="E31" s="7"/>
      <c r="F31" s="6"/>
      <c r="G31" s="7"/>
      <c r="H31" s="6"/>
      <c r="I31" s="6"/>
      <c r="J31" s="6"/>
      <c r="K31" s="9"/>
      <c r="L31" s="6"/>
      <c r="M31" s="6"/>
      <c r="N31" s="10"/>
      <c r="O31" s="6"/>
      <c r="P31" s="6"/>
      <c r="Q31" s="11" t="str">
        <f aca="false">IF(A31="","",TRIM(B31&amp;" "&amp;C31))</f>
        <v/>
      </c>
      <c r="R31" s="12" t="str">
        <f aca="false">IF(A31="","",SUMIFS(Sesiones!$F:$F,Sesiones!$C:$C,A31,Sesiones!$G:$G,"ARS")-SUMIFS(Pagos!$H:$H,Pagos!$D:$D,A31,Pagos!$I:$I,"ARS"))</f>
        <v/>
      </c>
      <c r="S31" s="13" t="str">
        <f aca="false">IF(A31="","",SUMIFS(Sesiones!$F:$F,Sesiones!$C:$C,A31,Sesiones!$G:$G,"USD")-SUMIFS(Pagos!$H:$H,Pagos!$D:$D,A31,Pagos!$I:$I,"USD"))</f>
        <v/>
      </c>
      <c r="T31" s="12" t="str">
        <f aca="false">IF(A31="","",SUMIFS(Pagos!$H:$H,Pagos!$D:$D,A31,Pagos!$I:$I,"ARS"))</f>
        <v/>
      </c>
      <c r="U31" s="13" t="str">
        <f aca="false">IF(A31="","",SUMIFS(Pagos!$H:$H,Pagos!$D:$D,A31,Pagos!$I:$I,"USD"))</f>
        <v/>
      </c>
    </row>
    <row r="32" customFormat="false" ht="15" hidden="false" customHeight="false" outlineLevel="0" collapsed="false">
      <c r="A32" s="6"/>
      <c r="B32" s="6"/>
      <c r="C32" s="6"/>
      <c r="D32" s="7"/>
      <c r="E32" s="7"/>
      <c r="F32" s="6"/>
      <c r="G32" s="7"/>
      <c r="H32" s="6"/>
      <c r="I32" s="6"/>
      <c r="J32" s="6"/>
      <c r="K32" s="9"/>
      <c r="L32" s="6"/>
      <c r="M32" s="6"/>
      <c r="N32" s="10"/>
      <c r="O32" s="6"/>
      <c r="P32" s="6"/>
      <c r="Q32" s="11" t="str">
        <f aca="false">IF(A32="","",TRIM(B32&amp;" "&amp;C32))</f>
        <v/>
      </c>
      <c r="R32" s="12" t="str">
        <f aca="false">IF(A32="","",SUMIFS(Sesiones!$F:$F,Sesiones!$C:$C,A32,Sesiones!$G:$G,"ARS")-SUMIFS(Pagos!$H:$H,Pagos!$D:$D,A32,Pagos!$I:$I,"ARS"))</f>
        <v/>
      </c>
      <c r="S32" s="13" t="str">
        <f aca="false">IF(A32="","",SUMIFS(Sesiones!$F:$F,Sesiones!$C:$C,A32,Sesiones!$G:$G,"USD")-SUMIFS(Pagos!$H:$H,Pagos!$D:$D,A32,Pagos!$I:$I,"USD"))</f>
        <v/>
      </c>
      <c r="T32" s="12" t="str">
        <f aca="false">IF(A32="","",SUMIFS(Pagos!$H:$H,Pagos!$D:$D,A32,Pagos!$I:$I,"ARS"))</f>
        <v/>
      </c>
      <c r="U32" s="13" t="str">
        <f aca="false">IF(A32="","",SUMIFS(Pagos!$H:$H,Pagos!$D:$D,A32,Pagos!$I:$I,"USD"))</f>
        <v/>
      </c>
    </row>
    <row r="33" customFormat="false" ht="15" hidden="false" customHeight="false" outlineLevel="0" collapsed="false">
      <c r="A33" s="6"/>
      <c r="B33" s="6"/>
      <c r="C33" s="6"/>
      <c r="D33" s="7"/>
      <c r="E33" s="7"/>
      <c r="F33" s="6"/>
      <c r="G33" s="7"/>
      <c r="H33" s="6"/>
      <c r="I33" s="6"/>
      <c r="J33" s="6"/>
      <c r="K33" s="9"/>
      <c r="L33" s="6"/>
      <c r="M33" s="6"/>
      <c r="N33" s="10"/>
      <c r="O33" s="6"/>
      <c r="P33" s="6"/>
      <c r="Q33" s="11" t="str">
        <f aca="false">IF(A33="","",TRIM(B33&amp;" "&amp;C33))</f>
        <v/>
      </c>
      <c r="R33" s="12" t="str">
        <f aca="false">IF(A33="","",SUMIFS(Sesiones!$F:$F,Sesiones!$C:$C,A33,Sesiones!$G:$G,"ARS")-SUMIFS(Pagos!$H:$H,Pagos!$D:$D,A33,Pagos!$I:$I,"ARS"))</f>
        <v/>
      </c>
      <c r="S33" s="13" t="str">
        <f aca="false">IF(A33="","",SUMIFS(Sesiones!$F:$F,Sesiones!$C:$C,A33,Sesiones!$G:$G,"USD")-SUMIFS(Pagos!$H:$H,Pagos!$D:$D,A33,Pagos!$I:$I,"USD"))</f>
        <v/>
      </c>
      <c r="T33" s="12" t="str">
        <f aca="false">IF(A33="","",SUMIFS(Pagos!$H:$H,Pagos!$D:$D,A33,Pagos!$I:$I,"ARS"))</f>
        <v/>
      </c>
      <c r="U33" s="13" t="str">
        <f aca="false">IF(A33="","",SUMIFS(Pagos!$H:$H,Pagos!$D:$D,A33,Pagos!$I:$I,"USD"))</f>
        <v/>
      </c>
    </row>
    <row r="34" customFormat="false" ht="15" hidden="false" customHeight="false" outlineLevel="0" collapsed="false">
      <c r="A34" s="6"/>
      <c r="B34" s="6"/>
      <c r="C34" s="6"/>
      <c r="D34" s="7"/>
      <c r="E34" s="7"/>
      <c r="F34" s="6"/>
      <c r="G34" s="7"/>
      <c r="H34" s="6"/>
      <c r="I34" s="6"/>
      <c r="J34" s="6"/>
      <c r="K34" s="9"/>
      <c r="L34" s="6"/>
      <c r="M34" s="6"/>
      <c r="N34" s="10"/>
      <c r="O34" s="6"/>
      <c r="P34" s="6"/>
      <c r="Q34" s="11" t="str">
        <f aca="false">IF(A34="","",TRIM(B34&amp;" "&amp;C34))</f>
        <v/>
      </c>
      <c r="R34" s="12" t="str">
        <f aca="false">IF(A34="","",SUMIFS(Sesiones!$F:$F,Sesiones!$C:$C,A34,Sesiones!$G:$G,"ARS")-SUMIFS(Pagos!$H:$H,Pagos!$D:$D,A34,Pagos!$I:$I,"ARS"))</f>
        <v/>
      </c>
      <c r="S34" s="13" t="str">
        <f aca="false">IF(A34="","",SUMIFS(Sesiones!$F:$F,Sesiones!$C:$C,A34,Sesiones!$G:$G,"USD")-SUMIFS(Pagos!$H:$H,Pagos!$D:$D,A34,Pagos!$I:$I,"USD"))</f>
        <v/>
      </c>
      <c r="T34" s="12" t="str">
        <f aca="false">IF(A34="","",SUMIFS(Pagos!$H:$H,Pagos!$D:$D,A34,Pagos!$I:$I,"ARS"))</f>
        <v/>
      </c>
      <c r="U34" s="13" t="str">
        <f aca="false">IF(A34="","",SUMIFS(Pagos!$H:$H,Pagos!$D:$D,A34,Pagos!$I:$I,"USD"))</f>
        <v/>
      </c>
    </row>
    <row r="35" customFormat="false" ht="15" hidden="false" customHeight="false" outlineLevel="0" collapsed="false">
      <c r="A35" s="6"/>
      <c r="B35" s="6"/>
      <c r="C35" s="6"/>
      <c r="D35" s="7"/>
      <c r="E35" s="7"/>
      <c r="F35" s="6"/>
      <c r="G35" s="7"/>
      <c r="H35" s="6"/>
      <c r="I35" s="6"/>
      <c r="J35" s="6"/>
      <c r="K35" s="9"/>
      <c r="L35" s="6"/>
      <c r="M35" s="6"/>
      <c r="N35" s="10"/>
      <c r="O35" s="6"/>
      <c r="P35" s="6"/>
      <c r="Q35" s="11" t="str">
        <f aca="false">IF(A35="","",TRIM(B35&amp;" "&amp;C35))</f>
        <v/>
      </c>
      <c r="R35" s="12" t="str">
        <f aca="false">IF(A35="","",SUMIFS(Sesiones!$F:$F,Sesiones!$C:$C,A35,Sesiones!$G:$G,"ARS")-SUMIFS(Pagos!$H:$H,Pagos!$D:$D,A35,Pagos!$I:$I,"ARS"))</f>
        <v/>
      </c>
      <c r="S35" s="13" t="str">
        <f aca="false">IF(A35="","",SUMIFS(Sesiones!$F:$F,Sesiones!$C:$C,A35,Sesiones!$G:$G,"USD")-SUMIFS(Pagos!$H:$H,Pagos!$D:$D,A35,Pagos!$I:$I,"USD"))</f>
        <v/>
      </c>
      <c r="T35" s="12" t="str">
        <f aca="false">IF(A35="","",SUMIFS(Pagos!$H:$H,Pagos!$D:$D,A35,Pagos!$I:$I,"ARS"))</f>
        <v/>
      </c>
      <c r="U35" s="13" t="str">
        <f aca="false">IF(A35="","",SUMIFS(Pagos!$H:$H,Pagos!$D:$D,A35,Pagos!$I:$I,"USD"))</f>
        <v/>
      </c>
    </row>
    <row r="36" customFormat="false" ht="15" hidden="false" customHeight="false" outlineLevel="0" collapsed="false">
      <c r="A36" s="6"/>
      <c r="B36" s="6"/>
      <c r="C36" s="6"/>
      <c r="D36" s="7"/>
      <c r="E36" s="7"/>
      <c r="F36" s="6"/>
      <c r="G36" s="7"/>
      <c r="H36" s="6"/>
      <c r="I36" s="6"/>
      <c r="J36" s="6"/>
      <c r="K36" s="9"/>
      <c r="L36" s="6"/>
      <c r="M36" s="6"/>
      <c r="N36" s="10"/>
      <c r="O36" s="6"/>
      <c r="P36" s="6"/>
      <c r="Q36" s="11" t="str">
        <f aca="false">IF(A36="","",TRIM(B36&amp;" "&amp;C36))</f>
        <v/>
      </c>
      <c r="R36" s="12" t="str">
        <f aca="false">IF(A36="","",SUMIFS(Sesiones!$F:$F,Sesiones!$C:$C,A36,Sesiones!$G:$G,"ARS")-SUMIFS(Pagos!$H:$H,Pagos!$D:$D,A36,Pagos!$I:$I,"ARS"))</f>
        <v/>
      </c>
      <c r="S36" s="13" t="str">
        <f aca="false">IF(A36="","",SUMIFS(Sesiones!$F:$F,Sesiones!$C:$C,A36,Sesiones!$G:$G,"USD")-SUMIFS(Pagos!$H:$H,Pagos!$D:$D,A36,Pagos!$I:$I,"USD"))</f>
        <v/>
      </c>
      <c r="T36" s="12" t="str">
        <f aca="false">IF(A36="","",SUMIFS(Pagos!$H:$H,Pagos!$D:$D,A36,Pagos!$I:$I,"ARS"))</f>
        <v/>
      </c>
      <c r="U36" s="13" t="str">
        <f aca="false">IF(A36="","",SUMIFS(Pagos!$H:$H,Pagos!$D:$D,A36,Pagos!$I:$I,"USD"))</f>
        <v/>
      </c>
    </row>
    <row r="37" customFormat="false" ht="15" hidden="false" customHeight="false" outlineLevel="0" collapsed="false">
      <c r="A37" s="6"/>
      <c r="B37" s="6"/>
      <c r="C37" s="6"/>
      <c r="D37" s="7"/>
      <c r="E37" s="7"/>
      <c r="F37" s="6"/>
      <c r="G37" s="7"/>
      <c r="H37" s="6"/>
      <c r="I37" s="6"/>
      <c r="J37" s="6"/>
      <c r="K37" s="9"/>
      <c r="L37" s="6"/>
      <c r="M37" s="6"/>
      <c r="N37" s="10"/>
      <c r="O37" s="6"/>
      <c r="P37" s="6"/>
      <c r="Q37" s="11" t="str">
        <f aca="false">IF(A37="","",TRIM(B37&amp;" "&amp;C37))</f>
        <v/>
      </c>
      <c r="R37" s="12" t="str">
        <f aca="false">IF(A37="","",SUMIFS(Sesiones!$F:$F,Sesiones!$C:$C,A37,Sesiones!$G:$G,"ARS")-SUMIFS(Pagos!$H:$H,Pagos!$D:$D,A37,Pagos!$I:$I,"ARS"))</f>
        <v/>
      </c>
      <c r="S37" s="13" t="str">
        <f aca="false">IF(A37="","",SUMIFS(Sesiones!$F:$F,Sesiones!$C:$C,A37,Sesiones!$G:$G,"USD")-SUMIFS(Pagos!$H:$H,Pagos!$D:$D,A37,Pagos!$I:$I,"USD"))</f>
        <v/>
      </c>
      <c r="T37" s="12" t="str">
        <f aca="false">IF(A37="","",SUMIFS(Pagos!$H:$H,Pagos!$D:$D,A37,Pagos!$I:$I,"ARS"))</f>
        <v/>
      </c>
      <c r="U37" s="13" t="str">
        <f aca="false">IF(A37="","",SUMIFS(Pagos!$H:$H,Pagos!$D:$D,A37,Pagos!$I:$I,"USD"))</f>
        <v/>
      </c>
    </row>
    <row r="38" customFormat="false" ht="15" hidden="false" customHeight="false" outlineLevel="0" collapsed="false">
      <c r="A38" s="6"/>
      <c r="B38" s="6"/>
      <c r="C38" s="6"/>
      <c r="D38" s="7"/>
      <c r="E38" s="7"/>
      <c r="F38" s="6"/>
      <c r="G38" s="7"/>
      <c r="H38" s="6"/>
      <c r="I38" s="6"/>
      <c r="J38" s="6"/>
      <c r="K38" s="9"/>
      <c r="L38" s="6"/>
      <c r="M38" s="6"/>
      <c r="N38" s="10"/>
      <c r="O38" s="6"/>
      <c r="P38" s="6"/>
      <c r="Q38" s="11" t="str">
        <f aca="false">IF(A38="","",TRIM(B38&amp;" "&amp;C38))</f>
        <v/>
      </c>
      <c r="R38" s="12" t="str">
        <f aca="false">IF(A38="","",SUMIFS(Sesiones!$F:$F,Sesiones!$C:$C,A38,Sesiones!$G:$G,"ARS")-SUMIFS(Pagos!$H:$H,Pagos!$D:$D,A38,Pagos!$I:$I,"ARS"))</f>
        <v/>
      </c>
      <c r="S38" s="13" t="str">
        <f aca="false">IF(A38="","",SUMIFS(Sesiones!$F:$F,Sesiones!$C:$C,A38,Sesiones!$G:$G,"USD")-SUMIFS(Pagos!$H:$H,Pagos!$D:$D,A38,Pagos!$I:$I,"USD"))</f>
        <v/>
      </c>
      <c r="T38" s="12" t="str">
        <f aca="false">IF(A38="","",SUMIFS(Pagos!$H:$H,Pagos!$D:$D,A38,Pagos!$I:$I,"ARS"))</f>
        <v/>
      </c>
      <c r="U38" s="13" t="str">
        <f aca="false">IF(A38="","",SUMIFS(Pagos!$H:$H,Pagos!$D:$D,A38,Pagos!$I:$I,"USD"))</f>
        <v/>
      </c>
    </row>
    <row r="39" customFormat="false" ht="15" hidden="false" customHeight="false" outlineLevel="0" collapsed="false">
      <c r="A39" s="6"/>
      <c r="B39" s="6"/>
      <c r="C39" s="6"/>
      <c r="D39" s="7"/>
      <c r="E39" s="7"/>
      <c r="F39" s="6"/>
      <c r="G39" s="7"/>
      <c r="H39" s="6"/>
      <c r="I39" s="6"/>
      <c r="J39" s="6"/>
      <c r="K39" s="9"/>
      <c r="L39" s="6"/>
      <c r="M39" s="6"/>
      <c r="N39" s="10"/>
      <c r="O39" s="6"/>
      <c r="P39" s="6"/>
      <c r="Q39" s="11" t="str">
        <f aca="false">IF(A39="","",TRIM(B39&amp;" "&amp;C39))</f>
        <v/>
      </c>
      <c r="R39" s="12" t="str">
        <f aca="false">IF(A39="","",SUMIFS(Sesiones!$F:$F,Sesiones!$C:$C,A39,Sesiones!$G:$G,"ARS")-SUMIFS(Pagos!$H:$H,Pagos!$D:$D,A39,Pagos!$I:$I,"ARS"))</f>
        <v/>
      </c>
      <c r="S39" s="13" t="str">
        <f aca="false">IF(A39="","",SUMIFS(Sesiones!$F:$F,Sesiones!$C:$C,A39,Sesiones!$G:$G,"USD")-SUMIFS(Pagos!$H:$H,Pagos!$D:$D,A39,Pagos!$I:$I,"USD"))</f>
        <v/>
      </c>
      <c r="T39" s="12" t="str">
        <f aca="false">IF(A39="","",SUMIFS(Pagos!$H:$H,Pagos!$D:$D,A39,Pagos!$I:$I,"ARS"))</f>
        <v/>
      </c>
      <c r="U39" s="13" t="str">
        <f aca="false">IF(A39="","",SUMIFS(Pagos!$H:$H,Pagos!$D:$D,A39,Pagos!$I:$I,"USD"))</f>
        <v/>
      </c>
    </row>
    <row r="40" customFormat="false" ht="15" hidden="false" customHeight="false" outlineLevel="0" collapsed="false">
      <c r="A40" s="6"/>
      <c r="B40" s="6"/>
      <c r="C40" s="6"/>
      <c r="D40" s="7"/>
      <c r="E40" s="7"/>
      <c r="F40" s="6"/>
      <c r="G40" s="7"/>
      <c r="H40" s="6"/>
      <c r="I40" s="6"/>
      <c r="J40" s="6"/>
      <c r="K40" s="9"/>
      <c r="L40" s="6"/>
      <c r="M40" s="6"/>
      <c r="N40" s="10"/>
      <c r="O40" s="6"/>
      <c r="P40" s="6"/>
      <c r="Q40" s="11" t="str">
        <f aca="false">IF(A40="","",TRIM(B40&amp;" "&amp;C40))</f>
        <v/>
      </c>
      <c r="R40" s="12" t="str">
        <f aca="false">IF(A40="","",SUMIFS(Sesiones!$F:$F,Sesiones!$C:$C,A40,Sesiones!$G:$G,"ARS")-SUMIFS(Pagos!$H:$H,Pagos!$D:$D,A40,Pagos!$I:$I,"ARS"))</f>
        <v/>
      </c>
      <c r="S40" s="13" t="str">
        <f aca="false">IF(A40="","",SUMIFS(Sesiones!$F:$F,Sesiones!$C:$C,A40,Sesiones!$G:$G,"USD")-SUMIFS(Pagos!$H:$H,Pagos!$D:$D,A40,Pagos!$I:$I,"USD"))</f>
        <v/>
      </c>
      <c r="T40" s="12" t="str">
        <f aca="false">IF(A40="","",SUMIFS(Pagos!$H:$H,Pagos!$D:$D,A40,Pagos!$I:$I,"ARS"))</f>
        <v/>
      </c>
      <c r="U40" s="13" t="str">
        <f aca="false">IF(A40="","",SUMIFS(Pagos!$H:$H,Pagos!$D:$D,A40,Pagos!$I:$I,"USD"))</f>
        <v/>
      </c>
    </row>
    <row r="41" customFormat="false" ht="15" hidden="false" customHeight="false" outlineLevel="0" collapsed="false">
      <c r="A41" s="6"/>
      <c r="B41" s="6"/>
      <c r="C41" s="6"/>
      <c r="D41" s="7"/>
      <c r="E41" s="7"/>
      <c r="F41" s="6"/>
      <c r="G41" s="7"/>
      <c r="H41" s="6"/>
      <c r="I41" s="6"/>
      <c r="J41" s="6"/>
      <c r="K41" s="9"/>
      <c r="L41" s="6"/>
      <c r="M41" s="6"/>
      <c r="N41" s="10"/>
      <c r="O41" s="6"/>
      <c r="P41" s="6"/>
      <c r="Q41" s="11" t="str">
        <f aca="false">IF(A41="","",TRIM(B41&amp;" "&amp;C41))</f>
        <v/>
      </c>
      <c r="R41" s="12" t="str">
        <f aca="false">IF(A41="","",SUMIFS(Sesiones!$F:$F,Sesiones!$C:$C,A41,Sesiones!$G:$G,"ARS")-SUMIFS(Pagos!$H:$H,Pagos!$D:$D,A41,Pagos!$I:$I,"ARS"))</f>
        <v/>
      </c>
      <c r="S41" s="13" t="str">
        <f aca="false">IF(A41="","",SUMIFS(Sesiones!$F:$F,Sesiones!$C:$C,A41,Sesiones!$G:$G,"USD")-SUMIFS(Pagos!$H:$H,Pagos!$D:$D,A41,Pagos!$I:$I,"USD"))</f>
        <v/>
      </c>
      <c r="T41" s="12" t="str">
        <f aca="false">IF(A41="","",SUMIFS(Pagos!$H:$H,Pagos!$D:$D,A41,Pagos!$I:$I,"ARS"))</f>
        <v/>
      </c>
      <c r="U41" s="13" t="str">
        <f aca="false">IF(A41="","",SUMIFS(Pagos!$H:$H,Pagos!$D:$D,A41,Pagos!$I:$I,"USD"))</f>
        <v/>
      </c>
    </row>
    <row r="42" customFormat="false" ht="15" hidden="false" customHeight="false" outlineLevel="0" collapsed="false">
      <c r="A42" s="6"/>
      <c r="B42" s="6"/>
      <c r="C42" s="6"/>
      <c r="D42" s="7"/>
      <c r="E42" s="7"/>
      <c r="F42" s="6"/>
      <c r="G42" s="7"/>
      <c r="H42" s="6"/>
      <c r="I42" s="6"/>
      <c r="J42" s="6"/>
      <c r="K42" s="9"/>
      <c r="L42" s="6"/>
      <c r="M42" s="6"/>
      <c r="N42" s="10"/>
      <c r="O42" s="6"/>
      <c r="P42" s="6"/>
      <c r="Q42" s="11" t="str">
        <f aca="false">IF(A42="","",TRIM(B42&amp;" "&amp;C42))</f>
        <v/>
      </c>
      <c r="R42" s="12" t="str">
        <f aca="false">IF(A42="","",SUMIFS(Sesiones!$F:$F,Sesiones!$C:$C,A42,Sesiones!$G:$G,"ARS")-SUMIFS(Pagos!$H:$H,Pagos!$D:$D,A42,Pagos!$I:$I,"ARS"))</f>
        <v/>
      </c>
      <c r="S42" s="13" t="str">
        <f aca="false">IF(A42="","",SUMIFS(Sesiones!$F:$F,Sesiones!$C:$C,A42,Sesiones!$G:$G,"USD")-SUMIFS(Pagos!$H:$H,Pagos!$D:$D,A42,Pagos!$I:$I,"USD"))</f>
        <v/>
      </c>
      <c r="T42" s="12" t="str">
        <f aca="false">IF(A42="","",SUMIFS(Pagos!$H:$H,Pagos!$D:$D,A42,Pagos!$I:$I,"ARS"))</f>
        <v/>
      </c>
      <c r="U42" s="13" t="str">
        <f aca="false">IF(A42="","",SUMIFS(Pagos!$H:$H,Pagos!$D:$D,A42,Pagos!$I:$I,"USD"))</f>
        <v/>
      </c>
    </row>
    <row r="43" customFormat="false" ht="15" hidden="false" customHeight="false" outlineLevel="0" collapsed="false">
      <c r="A43" s="6"/>
      <c r="B43" s="6"/>
      <c r="C43" s="6"/>
      <c r="D43" s="7"/>
      <c r="E43" s="7"/>
      <c r="F43" s="6"/>
      <c r="G43" s="7"/>
      <c r="H43" s="6"/>
      <c r="I43" s="6"/>
      <c r="J43" s="6"/>
      <c r="K43" s="9"/>
      <c r="L43" s="6"/>
      <c r="M43" s="6"/>
      <c r="N43" s="10"/>
      <c r="O43" s="6"/>
      <c r="P43" s="6"/>
      <c r="Q43" s="11" t="str">
        <f aca="false">IF(A43="","",TRIM(B43&amp;" "&amp;C43))</f>
        <v/>
      </c>
      <c r="R43" s="12" t="str">
        <f aca="false">IF(A43="","",SUMIFS(Sesiones!$F:$F,Sesiones!$C:$C,A43,Sesiones!$G:$G,"ARS")-SUMIFS(Pagos!$H:$H,Pagos!$D:$D,A43,Pagos!$I:$I,"ARS"))</f>
        <v/>
      </c>
      <c r="S43" s="13" t="str">
        <f aca="false">IF(A43="","",SUMIFS(Sesiones!$F:$F,Sesiones!$C:$C,A43,Sesiones!$G:$G,"USD")-SUMIFS(Pagos!$H:$H,Pagos!$D:$D,A43,Pagos!$I:$I,"USD"))</f>
        <v/>
      </c>
      <c r="T43" s="12" t="str">
        <f aca="false">IF(A43="","",SUMIFS(Pagos!$H:$H,Pagos!$D:$D,A43,Pagos!$I:$I,"ARS"))</f>
        <v/>
      </c>
      <c r="U43" s="13" t="str">
        <f aca="false">IF(A43="","",SUMIFS(Pagos!$H:$H,Pagos!$D:$D,A43,Pagos!$I:$I,"USD"))</f>
        <v/>
      </c>
    </row>
    <row r="44" customFormat="false" ht="15" hidden="false" customHeight="false" outlineLevel="0" collapsed="false">
      <c r="A44" s="6"/>
      <c r="B44" s="6"/>
      <c r="C44" s="6"/>
      <c r="D44" s="7"/>
      <c r="E44" s="7"/>
      <c r="F44" s="6"/>
      <c r="G44" s="7"/>
      <c r="H44" s="6"/>
      <c r="I44" s="6"/>
      <c r="J44" s="6"/>
      <c r="K44" s="9"/>
      <c r="L44" s="6"/>
      <c r="M44" s="6"/>
      <c r="N44" s="10"/>
      <c r="O44" s="6"/>
      <c r="P44" s="6"/>
      <c r="Q44" s="11" t="str">
        <f aca="false">IF(A44="","",TRIM(B44&amp;" "&amp;C44))</f>
        <v/>
      </c>
      <c r="R44" s="12" t="str">
        <f aca="false">IF(A44="","",SUMIFS(Sesiones!$F:$F,Sesiones!$C:$C,A44,Sesiones!$G:$G,"ARS")-SUMIFS(Pagos!$H:$H,Pagos!$D:$D,A44,Pagos!$I:$I,"ARS"))</f>
        <v/>
      </c>
      <c r="S44" s="13" t="str">
        <f aca="false">IF(A44="","",SUMIFS(Sesiones!$F:$F,Sesiones!$C:$C,A44,Sesiones!$G:$G,"USD")-SUMIFS(Pagos!$H:$H,Pagos!$D:$D,A44,Pagos!$I:$I,"USD"))</f>
        <v/>
      </c>
      <c r="T44" s="12" t="str">
        <f aca="false">IF(A44="","",SUMIFS(Pagos!$H:$H,Pagos!$D:$D,A44,Pagos!$I:$I,"ARS"))</f>
        <v/>
      </c>
      <c r="U44" s="13" t="str">
        <f aca="false">IF(A44="","",SUMIFS(Pagos!$H:$H,Pagos!$D:$D,A44,Pagos!$I:$I,"USD"))</f>
        <v/>
      </c>
    </row>
    <row r="45" customFormat="false" ht="15" hidden="false" customHeight="false" outlineLevel="0" collapsed="false">
      <c r="A45" s="6"/>
      <c r="B45" s="6"/>
      <c r="C45" s="6"/>
      <c r="D45" s="7"/>
      <c r="E45" s="7"/>
      <c r="F45" s="6"/>
      <c r="G45" s="7"/>
      <c r="H45" s="6"/>
      <c r="I45" s="6"/>
      <c r="J45" s="6"/>
      <c r="K45" s="9"/>
      <c r="L45" s="6"/>
      <c r="M45" s="6"/>
      <c r="N45" s="10"/>
      <c r="O45" s="6"/>
      <c r="P45" s="6"/>
      <c r="Q45" s="11" t="str">
        <f aca="false">IF(A45="","",TRIM(B45&amp;" "&amp;C45))</f>
        <v/>
      </c>
      <c r="R45" s="12" t="str">
        <f aca="false">IF(A45="","",SUMIFS(Sesiones!$F:$F,Sesiones!$C:$C,A45,Sesiones!$G:$G,"ARS")-SUMIFS(Pagos!$H:$H,Pagos!$D:$D,A45,Pagos!$I:$I,"ARS"))</f>
        <v/>
      </c>
      <c r="S45" s="13" t="str">
        <f aca="false">IF(A45="","",SUMIFS(Sesiones!$F:$F,Sesiones!$C:$C,A45,Sesiones!$G:$G,"USD")-SUMIFS(Pagos!$H:$H,Pagos!$D:$D,A45,Pagos!$I:$I,"USD"))</f>
        <v/>
      </c>
      <c r="T45" s="12" t="str">
        <f aca="false">IF(A45="","",SUMIFS(Pagos!$H:$H,Pagos!$D:$D,A45,Pagos!$I:$I,"ARS"))</f>
        <v/>
      </c>
      <c r="U45" s="13" t="str">
        <f aca="false">IF(A45="","",SUMIFS(Pagos!$H:$H,Pagos!$D:$D,A45,Pagos!$I:$I,"USD"))</f>
        <v/>
      </c>
    </row>
    <row r="46" customFormat="false" ht="15" hidden="false" customHeight="false" outlineLevel="0" collapsed="false">
      <c r="A46" s="6"/>
      <c r="B46" s="6"/>
      <c r="C46" s="6"/>
      <c r="D46" s="7"/>
      <c r="E46" s="7"/>
      <c r="F46" s="6"/>
      <c r="G46" s="7"/>
      <c r="H46" s="6"/>
      <c r="I46" s="6"/>
      <c r="J46" s="6"/>
      <c r="K46" s="9"/>
      <c r="L46" s="6"/>
      <c r="M46" s="6"/>
      <c r="N46" s="10"/>
      <c r="O46" s="6"/>
      <c r="P46" s="6"/>
      <c r="Q46" s="11" t="str">
        <f aca="false">IF(A46="","",TRIM(B46&amp;" "&amp;C46))</f>
        <v/>
      </c>
      <c r="R46" s="12" t="str">
        <f aca="false">IF(A46="","",SUMIFS(Sesiones!$F:$F,Sesiones!$C:$C,A46,Sesiones!$G:$G,"ARS")-SUMIFS(Pagos!$H:$H,Pagos!$D:$D,A46,Pagos!$I:$I,"ARS"))</f>
        <v/>
      </c>
      <c r="S46" s="13" t="str">
        <f aca="false">IF(A46="","",SUMIFS(Sesiones!$F:$F,Sesiones!$C:$C,A46,Sesiones!$G:$G,"USD")-SUMIFS(Pagos!$H:$H,Pagos!$D:$D,A46,Pagos!$I:$I,"USD"))</f>
        <v/>
      </c>
      <c r="T46" s="12" t="str">
        <f aca="false">IF(A46="","",SUMIFS(Pagos!$H:$H,Pagos!$D:$D,A46,Pagos!$I:$I,"ARS"))</f>
        <v/>
      </c>
      <c r="U46" s="13" t="str">
        <f aca="false">IF(A46="","",SUMIFS(Pagos!$H:$H,Pagos!$D:$D,A46,Pagos!$I:$I,"USD"))</f>
        <v/>
      </c>
    </row>
    <row r="47" customFormat="false" ht="15" hidden="false" customHeight="false" outlineLevel="0" collapsed="false">
      <c r="A47" s="6"/>
      <c r="B47" s="6"/>
      <c r="C47" s="6"/>
      <c r="D47" s="7"/>
      <c r="E47" s="7"/>
      <c r="F47" s="6"/>
      <c r="G47" s="7"/>
      <c r="H47" s="6"/>
      <c r="I47" s="6"/>
      <c r="J47" s="6"/>
      <c r="K47" s="9"/>
      <c r="L47" s="6"/>
      <c r="M47" s="6"/>
      <c r="N47" s="10"/>
      <c r="O47" s="6"/>
      <c r="P47" s="6"/>
      <c r="Q47" s="11" t="str">
        <f aca="false">IF(A47="","",TRIM(B47&amp;" "&amp;C47))</f>
        <v/>
      </c>
      <c r="R47" s="12" t="str">
        <f aca="false">IF(A47="","",SUMIFS(Sesiones!$F:$F,Sesiones!$C:$C,A47,Sesiones!$G:$G,"ARS")-SUMIFS(Pagos!$H:$H,Pagos!$D:$D,A47,Pagos!$I:$I,"ARS"))</f>
        <v/>
      </c>
      <c r="S47" s="13" t="str">
        <f aca="false">IF(A47="","",SUMIFS(Sesiones!$F:$F,Sesiones!$C:$C,A47,Sesiones!$G:$G,"USD")-SUMIFS(Pagos!$H:$H,Pagos!$D:$D,A47,Pagos!$I:$I,"USD"))</f>
        <v/>
      </c>
      <c r="T47" s="12" t="str">
        <f aca="false">IF(A47="","",SUMIFS(Pagos!$H:$H,Pagos!$D:$D,A47,Pagos!$I:$I,"ARS"))</f>
        <v/>
      </c>
      <c r="U47" s="13" t="str">
        <f aca="false">IF(A47="","",SUMIFS(Pagos!$H:$H,Pagos!$D:$D,A47,Pagos!$I:$I,"USD"))</f>
        <v/>
      </c>
    </row>
    <row r="48" customFormat="false" ht="15" hidden="false" customHeight="false" outlineLevel="0" collapsed="false">
      <c r="A48" s="6"/>
      <c r="B48" s="6"/>
      <c r="C48" s="6"/>
      <c r="D48" s="7"/>
      <c r="E48" s="7"/>
      <c r="F48" s="6"/>
      <c r="G48" s="7"/>
      <c r="H48" s="6"/>
      <c r="I48" s="6"/>
      <c r="J48" s="6"/>
      <c r="K48" s="9"/>
      <c r="L48" s="6"/>
      <c r="M48" s="6"/>
      <c r="N48" s="10"/>
      <c r="O48" s="6"/>
      <c r="P48" s="6"/>
      <c r="Q48" s="11" t="str">
        <f aca="false">IF(A48="","",TRIM(B48&amp;" "&amp;C48))</f>
        <v/>
      </c>
      <c r="R48" s="12" t="str">
        <f aca="false">IF(A48="","",SUMIFS(Sesiones!$F:$F,Sesiones!$C:$C,A48,Sesiones!$G:$G,"ARS")-SUMIFS(Pagos!$H:$H,Pagos!$D:$D,A48,Pagos!$I:$I,"ARS"))</f>
        <v/>
      </c>
      <c r="S48" s="13" t="str">
        <f aca="false">IF(A48="","",SUMIFS(Sesiones!$F:$F,Sesiones!$C:$C,A48,Sesiones!$G:$G,"USD")-SUMIFS(Pagos!$H:$H,Pagos!$D:$D,A48,Pagos!$I:$I,"USD"))</f>
        <v/>
      </c>
      <c r="T48" s="12" t="str">
        <f aca="false">IF(A48="","",SUMIFS(Pagos!$H:$H,Pagos!$D:$D,A48,Pagos!$I:$I,"ARS"))</f>
        <v/>
      </c>
      <c r="U48" s="13" t="str">
        <f aca="false">IF(A48="","",SUMIFS(Pagos!$H:$H,Pagos!$D:$D,A48,Pagos!$I:$I,"USD"))</f>
        <v/>
      </c>
    </row>
    <row r="49" customFormat="false" ht="15" hidden="false" customHeight="false" outlineLevel="0" collapsed="false">
      <c r="A49" s="6"/>
      <c r="B49" s="6"/>
      <c r="C49" s="6"/>
      <c r="D49" s="7"/>
      <c r="E49" s="7"/>
      <c r="F49" s="6"/>
      <c r="G49" s="7"/>
      <c r="H49" s="6"/>
      <c r="I49" s="6"/>
      <c r="J49" s="6"/>
      <c r="K49" s="9"/>
      <c r="L49" s="6"/>
      <c r="M49" s="6"/>
      <c r="N49" s="10"/>
      <c r="O49" s="6"/>
      <c r="P49" s="6"/>
      <c r="Q49" s="11" t="str">
        <f aca="false">IF(A49="","",TRIM(B49&amp;" "&amp;C49))</f>
        <v/>
      </c>
      <c r="R49" s="12" t="str">
        <f aca="false">IF(A49="","",SUMIFS(Sesiones!$F:$F,Sesiones!$C:$C,A49,Sesiones!$G:$G,"ARS")-SUMIFS(Pagos!$H:$H,Pagos!$D:$D,A49,Pagos!$I:$I,"ARS"))</f>
        <v/>
      </c>
      <c r="S49" s="13" t="str">
        <f aca="false">IF(A49="","",SUMIFS(Sesiones!$F:$F,Sesiones!$C:$C,A49,Sesiones!$G:$G,"USD")-SUMIFS(Pagos!$H:$H,Pagos!$D:$D,A49,Pagos!$I:$I,"USD"))</f>
        <v/>
      </c>
      <c r="T49" s="12" t="str">
        <f aca="false">IF(A49="","",SUMIFS(Pagos!$H:$H,Pagos!$D:$D,A49,Pagos!$I:$I,"ARS"))</f>
        <v/>
      </c>
      <c r="U49" s="13" t="str">
        <f aca="false">IF(A49="","",SUMIFS(Pagos!$H:$H,Pagos!$D:$D,A49,Pagos!$I:$I,"USD"))</f>
        <v/>
      </c>
    </row>
    <row r="50" customFormat="false" ht="15" hidden="false" customHeight="false" outlineLevel="0" collapsed="false">
      <c r="A50" s="6"/>
      <c r="B50" s="6"/>
      <c r="C50" s="6"/>
      <c r="D50" s="7"/>
      <c r="E50" s="7"/>
      <c r="F50" s="6"/>
      <c r="G50" s="7"/>
      <c r="H50" s="6"/>
      <c r="I50" s="6"/>
      <c r="J50" s="6"/>
      <c r="K50" s="9"/>
      <c r="L50" s="6"/>
      <c r="M50" s="6"/>
      <c r="N50" s="10"/>
      <c r="O50" s="6"/>
      <c r="P50" s="6"/>
      <c r="Q50" s="11" t="str">
        <f aca="false">IF(A50="","",TRIM(B50&amp;" "&amp;C50))</f>
        <v/>
      </c>
      <c r="R50" s="12" t="str">
        <f aca="false">IF(A50="","",SUMIFS(Sesiones!$F:$F,Sesiones!$C:$C,A50,Sesiones!$G:$G,"ARS")-SUMIFS(Pagos!$H:$H,Pagos!$D:$D,A50,Pagos!$I:$I,"ARS"))</f>
        <v/>
      </c>
      <c r="S50" s="13" t="str">
        <f aca="false">IF(A50="","",SUMIFS(Sesiones!$F:$F,Sesiones!$C:$C,A50,Sesiones!$G:$G,"USD")-SUMIFS(Pagos!$H:$H,Pagos!$D:$D,A50,Pagos!$I:$I,"USD"))</f>
        <v/>
      </c>
      <c r="T50" s="12" t="str">
        <f aca="false">IF(A50="","",SUMIFS(Pagos!$H:$H,Pagos!$D:$D,A50,Pagos!$I:$I,"ARS"))</f>
        <v/>
      </c>
      <c r="U50" s="13" t="str">
        <f aca="false">IF(A50="","",SUMIFS(Pagos!$H:$H,Pagos!$D:$D,A50,Pagos!$I:$I,"USD"))</f>
        <v/>
      </c>
    </row>
    <row r="51" customFormat="false" ht="15" hidden="false" customHeight="false" outlineLevel="0" collapsed="false">
      <c r="A51" s="6"/>
      <c r="B51" s="6"/>
      <c r="C51" s="6"/>
      <c r="D51" s="7"/>
      <c r="E51" s="7"/>
      <c r="F51" s="6"/>
      <c r="G51" s="7"/>
      <c r="H51" s="6"/>
      <c r="I51" s="6"/>
      <c r="J51" s="6"/>
      <c r="K51" s="9"/>
      <c r="L51" s="6"/>
      <c r="M51" s="6"/>
      <c r="N51" s="10"/>
      <c r="O51" s="6"/>
      <c r="P51" s="6"/>
      <c r="Q51" s="11" t="str">
        <f aca="false">IF(A51="","",TRIM(B51&amp;" "&amp;C51))</f>
        <v/>
      </c>
      <c r="R51" s="12" t="str">
        <f aca="false">IF(A51="","",SUMIFS(Sesiones!$F:$F,Sesiones!$C:$C,A51,Sesiones!$G:$G,"ARS")-SUMIFS(Pagos!$H:$H,Pagos!$D:$D,A51,Pagos!$I:$I,"ARS"))</f>
        <v/>
      </c>
      <c r="S51" s="13" t="str">
        <f aca="false">IF(A51="","",SUMIFS(Sesiones!$F:$F,Sesiones!$C:$C,A51,Sesiones!$G:$G,"USD")-SUMIFS(Pagos!$H:$H,Pagos!$D:$D,A51,Pagos!$I:$I,"USD"))</f>
        <v/>
      </c>
      <c r="T51" s="12" t="str">
        <f aca="false">IF(A51="","",SUMIFS(Pagos!$H:$H,Pagos!$D:$D,A51,Pagos!$I:$I,"ARS"))</f>
        <v/>
      </c>
      <c r="U51" s="13" t="str">
        <f aca="false">IF(A51="","",SUMIFS(Pagos!$H:$H,Pagos!$D:$D,A51,Pagos!$I:$I,"USD"))</f>
        <v/>
      </c>
    </row>
    <row r="52" customFormat="false" ht="15" hidden="false" customHeight="false" outlineLevel="0" collapsed="false">
      <c r="A52" s="6"/>
      <c r="B52" s="6"/>
      <c r="C52" s="6"/>
      <c r="D52" s="7"/>
      <c r="E52" s="7"/>
      <c r="F52" s="6"/>
      <c r="G52" s="7"/>
      <c r="H52" s="6"/>
      <c r="I52" s="6"/>
      <c r="J52" s="6"/>
      <c r="K52" s="9"/>
      <c r="L52" s="6"/>
      <c r="M52" s="6"/>
      <c r="N52" s="10"/>
      <c r="O52" s="6"/>
      <c r="P52" s="6"/>
      <c r="Q52" s="11" t="str">
        <f aca="false">IF(A52="","",TRIM(B52&amp;" "&amp;C52))</f>
        <v/>
      </c>
      <c r="R52" s="12" t="str">
        <f aca="false">IF(A52="","",SUMIFS(Sesiones!$F:$F,Sesiones!$C:$C,A52,Sesiones!$G:$G,"ARS")-SUMIFS(Pagos!$H:$H,Pagos!$D:$D,A52,Pagos!$I:$I,"ARS"))</f>
        <v/>
      </c>
      <c r="S52" s="13" t="str">
        <f aca="false">IF(A52="","",SUMIFS(Sesiones!$F:$F,Sesiones!$C:$C,A52,Sesiones!$G:$G,"USD")-SUMIFS(Pagos!$H:$H,Pagos!$D:$D,A52,Pagos!$I:$I,"USD"))</f>
        <v/>
      </c>
      <c r="T52" s="12" t="str">
        <f aca="false">IF(A52="","",SUMIFS(Pagos!$H:$H,Pagos!$D:$D,A52,Pagos!$I:$I,"ARS"))</f>
        <v/>
      </c>
      <c r="U52" s="13" t="str">
        <f aca="false">IF(A52="","",SUMIFS(Pagos!$H:$H,Pagos!$D:$D,A52,Pagos!$I:$I,"USD"))</f>
        <v/>
      </c>
    </row>
    <row r="53" customFormat="false" ht="15" hidden="false" customHeight="false" outlineLevel="0" collapsed="false">
      <c r="A53" s="6"/>
      <c r="B53" s="6"/>
      <c r="C53" s="6"/>
      <c r="D53" s="7"/>
      <c r="E53" s="7"/>
      <c r="F53" s="6"/>
      <c r="G53" s="7"/>
      <c r="H53" s="6"/>
      <c r="I53" s="6"/>
      <c r="J53" s="6"/>
      <c r="K53" s="9"/>
      <c r="L53" s="6"/>
      <c r="M53" s="6"/>
      <c r="N53" s="10"/>
      <c r="O53" s="6"/>
      <c r="P53" s="6"/>
      <c r="Q53" s="11" t="str">
        <f aca="false">IF(A53="","",TRIM(B53&amp;" "&amp;C53))</f>
        <v/>
      </c>
      <c r="R53" s="12" t="str">
        <f aca="false">IF(A53="","",SUMIFS(Sesiones!$F:$F,Sesiones!$C:$C,A53,Sesiones!$G:$G,"ARS")-SUMIFS(Pagos!$H:$H,Pagos!$D:$D,A53,Pagos!$I:$I,"ARS"))</f>
        <v/>
      </c>
      <c r="S53" s="13" t="str">
        <f aca="false">IF(A53="","",SUMIFS(Sesiones!$F:$F,Sesiones!$C:$C,A53,Sesiones!$G:$G,"USD")-SUMIFS(Pagos!$H:$H,Pagos!$D:$D,A53,Pagos!$I:$I,"USD"))</f>
        <v/>
      </c>
      <c r="T53" s="12" t="str">
        <f aca="false">IF(A53="","",SUMIFS(Pagos!$H:$H,Pagos!$D:$D,A53,Pagos!$I:$I,"ARS"))</f>
        <v/>
      </c>
      <c r="U53" s="13" t="str">
        <f aca="false">IF(A53="","",SUMIFS(Pagos!$H:$H,Pagos!$D:$D,A53,Pagos!$I:$I,"USD"))</f>
        <v/>
      </c>
    </row>
    <row r="54" customFormat="false" ht="15" hidden="false" customHeight="false" outlineLevel="0" collapsed="false">
      <c r="A54" s="6"/>
      <c r="B54" s="6"/>
      <c r="C54" s="6"/>
      <c r="D54" s="7"/>
      <c r="E54" s="7"/>
      <c r="F54" s="6"/>
      <c r="G54" s="7"/>
      <c r="H54" s="6"/>
      <c r="I54" s="6"/>
      <c r="J54" s="6"/>
      <c r="K54" s="9"/>
      <c r="L54" s="6"/>
      <c r="M54" s="6"/>
      <c r="N54" s="10"/>
      <c r="O54" s="6"/>
      <c r="P54" s="6"/>
      <c r="Q54" s="11" t="str">
        <f aca="false">IF(A54="","",TRIM(B54&amp;" "&amp;C54))</f>
        <v/>
      </c>
      <c r="R54" s="12" t="str">
        <f aca="false">IF(A54="","",SUMIFS(Sesiones!$F:$F,Sesiones!$C:$C,A54,Sesiones!$G:$G,"ARS")-SUMIFS(Pagos!$H:$H,Pagos!$D:$D,A54,Pagos!$I:$I,"ARS"))</f>
        <v/>
      </c>
      <c r="S54" s="13" t="str">
        <f aca="false">IF(A54="","",SUMIFS(Sesiones!$F:$F,Sesiones!$C:$C,A54,Sesiones!$G:$G,"USD")-SUMIFS(Pagos!$H:$H,Pagos!$D:$D,A54,Pagos!$I:$I,"USD"))</f>
        <v/>
      </c>
      <c r="T54" s="12" t="str">
        <f aca="false">IF(A54="","",SUMIFS(Pagos!$H:$H,Pagos!$D:$D,A54,Pagos!$I:$I,"ARS"))</f>
        <v/>
      </c>
      <c r="U54" s="13" t="str">
        <f aca="false">IF(A54="","",SUMIFS(Pagos!$H:$H,Pagos!$D:$D,A54,Pagos!$I:$I,"USD"))</f>
        <v/>
      </c>
    </row>
    <row r="55" customFormat="false" ht="15" hidden="false" customHeight="false" outlineLevel="0" collapsed="false">
      <c r="A55" s="6"/>
      <c r="B55" s="6"/>
      <c r="C55" s="6"/>
      <c r="D55" s="7"/>
      <c r="E55" s="7"/>
      <c r="F55" s="6"/>
      <c r="G55" s="7"/>
      <c r="H55" s="6"/>
      <c r="I55" s="6"/>
      <c r="J55" s="6"/>
      <c r="K55" s="9"/>
      <c r="L55" s="6"/>
      <c r="M55" s="6"/>
      <c r="N55" s="10"/>
      <c r="O55" s="6"/>
      <c r="P55" s="6"/>
      <c r="Q55" s="11" t="str">
        <f aca="false">IF(A55="","",TRIM(B55&amp;" "&amp;C55))</f>
        <v/>
      </c>
      <c r="R55" s="12" t="str">
        <f aca="false">IF(A55="","",SUMIFS(Sesiones!$F:$F,Sesiones!$C:$C,A55,Sesiones!$G:$G,"ARS")-SUMIFS(Pagos!$H:$H,Pagos!$D:$D,A55,Pagos!$I:$I,"ARS"))</f>
        <v/>
      </c>
      <c r="S55" s="13" t="str">
        <f aca="false">IF(A55="","",SUMIFS(Sesiones!$F:$F,Sesiones!$C:$C,A55,Sesiones!$G:$G,"USD")-SUMIFS(Pagos!$H:$H,Pagos!$D:$D,A55,Pagos!$I:$I,"USD"))</f>
        <v/>
      </c>
      <c r="T55" s="12" t="str">
        <f aca="false">IF(A55="","",SUMIFS(Pagos!$H:$H,Pagos!$D:$D,A55,Pagos!$I:$I,"ARS"))</f>
        <v/>
      </c>
      <c r="U55" s="13" t="str">
        <f aca="false">IF(A55="","",SUMIFS(Pagos!$H:$H,Pagos!$D:$D,A55,Pagos!$I:$I,"USD"))</f>
        <v/>
      </c>
    </row>
    <row r="56" customFormat="false" ht="15" hidden="false" customHeight="false" outlineLevel="0" collapsed="false">
      <c r="A56" s="6"/>
      <c r="B56" s="6"/>
      <c r="C56" s="6"/>
      <c r="D56" s="7"/>
      <c r="E56" s="7"/>
      <c r="F56" s="6"/>
      <c r="G56" s="7"/>
      <c r="H56" s="6"/>
      <c r="I56" s="6"/>
      <c r="J56" s="6"/>
      <c r="K56" s="9"/>
      <c r="L56" s="6"/>
      <c r="M56" s="6"/>
      <c r="N56" s="10"/>
      <c r="O56" s="6"/>
      <c r="P56" s="6"/>
      <c r="Q56" s="11" t="str">
        <f aca="false">IF(A56="","",TRIM(B56&amp;" "&amp;C56))</f>
        <v/>
      </c>
      <c r="R56" s="12" t="str">
        <f aca="false">IF(A56="","",SUMIFS(Sesiones!$F:$F,Sesiones!$C:$C,A56,Sesiones!$G:$G,"ARS")-SUMIFS(Pagos!$H:$H,Pagos!$D:$D,A56,Pagos!$I:$I,"ARS"))</f>
        <v/>
      </c>
      <c r="S56" s="13" t="str">
        <f aca="false">IF(A56="","",SUMIFS(Sesiones!$F:$F,Sesiones!$C:$C,A56,Sesiones!$G:$G,"USD")-SUMIFS(Pagos!$H:$H,Pagos!$D:$D,A56,Pagos!$I:$I,"USD"))</f>
        <v/>
      </c>
      <c r="T56" s="12" t="str">
        <f aca="false">IF(A56="","",SUMIFS(Pagos!$H:$H,Pagos!$D:$D,A56,Pagos!$I:$I,"ARS"))</f>
        <v/>
      </c>
      <c r="U56" s="13" t="str">
        <f aca="false">IF(A56="","",SUMIFS(Pagos!$H:$H,Pagos!$D:$D,A56,Pagos!$I:$I,"USD"))</f>
        <v/>
      </c>
    </row>
    <row r="57" customFormat="false" ht="15" hidden="false" customHeight="false" outlineLevel="0" collapsed="false">
      <c r="A57" s="6"/>
      <c r="B57" s="6"/>
      <c r="C57" s="6"/>
      <c r="D57" s="7"/>
      <c r="E57" s="7"/>
      <c r="F57" s="6"/>
      <c r="G57" s="7"/>
      <c r="H57" s="6"/>
      <c r="I57" s="6"/>
      <c r="J57" s="6"/>
      <c r="K57" s="9"/>
      <c r="L57" s="6"/>
      <c r="M57" s="6"/>
      <c r="N57" s="10"/>
      <c r="O57" s="6"/>
      <c r="P57" s="6"/>
      <c r="Q57" s="11" t="str">
        <f aca="false">IF(A57="","",TRIM(B57&amp;" "&amp;C57))</f>
        <v/>
      </c>
      <c r="R57" s="12" t="str">
        <f aca="false">IF(A57="","",SUMIFS(Sesiones!$F:$F,Sesiones!$C:$C,A57,Sesiones!$G:$G,"ARS")-SUMIFS(Pagos!$H:$H,Pagos!$D:$D,A57,Pagos!$I:$I,"ARS"))</f>
        <v/>
      </c>
      <c r="S57" s="13" t="str">
        <f aca="false">IF(A57="","",SUMIFS(Sesiones!$F:$F,Sesiones!$C:$C,A57,Sesiones!$G:$G,"USD")-SUMIFS(Pagos!$H:$H,Pagos!$D:$D,A57,Pagos!$I:$I,"USD"))</f>
        <v/>
      </c>
      <c r="T57" s="12" t="str">
        <f aca="false">IF(A57="","",SUMIFS(Pagos!$H:$H,Pagos!$D:$D,A57,Pagos!$I:$I,"ARS"))</f>
        <v/>
      </c>
      <c r="U57" s="13" t="str">
        <f aca="false">IF(A57="","",SUMIFS(Pagos!$H:$H,Pagos!$D:$D,A57,Pagos!$I:$I,"USD"))</f>
        <v/>
      </c>
    </row>
    <row r="58" customFormat="false" ht="15" hidden="false" customHeight="false" outlineLevel="0" collapsed="false">
      <c r="A58" s="6"/>
      <c r="B58" s="6"/>
      <c r="C58" s="6"/>
      <c r="D58" s="7"/>
      <c r="E58" s="7"/>
      <c r="F58" s="6"/>
      <c r="G58" s="7"/>
      <c r="H58" s="6"/>
      <c r="I58" s="6"/>
      <c r="J58" s="6"/>
      <c r="K58" s="9"/>
      <c r="L58" s="6"/>
      <c r="M58" s="6"/>
      <c r="N58" s="10"/>
      <c r="O58" s="6"/>
      <c r="P58" s="6"/>
      <c r="Q58" s="11" t="str">
        <f aca="false">IF(A58="","",TRIM(B58&amp;" "&amp;C58))</f>
        <v/>
      </c>
      <c r="R58" s="12" t="str">
        <f aca="false">IF(A58="","",SUMIFS(Sesiones!$F:$F,Sesiones!$C:$C,A58,Sesiones!$G:$G,"ARS")-SUMIFS(Pagos!$H:$H,Pagos!$D:$D,A58,Pagos!$I:$I,"ARS"))</f>
        <v/>
      </c>
      <c r="S58" s="13" t="str">
        <f aca="false">IF(A58="","",SUMIFS(Sesiones!$F:$F,Sesiones!$C:$C,A58,Sesiones!$G:$G,"USD")-SUMIFS(Pagos!$H:$H,Pagos!$D:$D,A58,Pagos!$I:$I,"USD"))</f>
        <v/>
      </c>
      <c r="T58" s="12" t="str">
        <f aca="false">IF(A58="","",SUMIFS(Pagos!$H:$H,Pagos!$D:$D,A58,Pagos!$I:$I,"ARS"))</f>
        <v/>
      </c>
      <c r="U58" s="13" t="str">
        <f aca="false">IF(A58="","",SUMIFS(Pagos!$H:$H,Pagos!$D:$D,A58,Pagos!$I:$I,"USD"))</f>
        <v/>
      </c>
    </row>
    <row r="59" customFormat="false" ht="15" hidden="false" customHeight="false" outlineLevel="0" collapsed="false">
      <c r="A59" s="6"/>
      <c r="B59" s="6"/>
      <c r="C59" s="6"/>
      <c r="D59" s="7"/>
      <c r="E59" s="7"/>
      <c r="F59" s="6"/>
      <c r="G59" s="7"/>
      <c r="H59" s="6"/>
      <c r="I59" s="6"/>
      <c r="J59" s="6"/>
      <c r="K59" s="9"/>
      <c r="L59" s="6"/>
      <c r="M59" s="6"/>
      <c r="N59" s="10"/>
      <c r="O59" s="6"/>
      <c r="P59" s="6"/>
      <c r="Q59" s="11" t="str">
        <f aca="false">IF(A59="","",TRIM(B59&amp;" "&amp;C59))</f>
        <v/>
      </c>
      <c r="R59" s="12" t="str">
        <f aca="false">IF(A59="","",SUMIFS(Sesiones!$F:$F,Sesiones!$C:$C,A59,Sesiones!$G:$G,"ARS")-SUMIFS(Pagos!$H:$H,Pagos!$D:$D,A59,Pagos!$I:$I,"ARS"))</f>
        <v/>
      </c>
      <c r="S59" s="13" t="str">
        <f aca="false">IF(A59="","",SUMIFS(Sesiones!$F:$F,Sesiones!$C:$C,A59,Sesiones!$G:$G,"USD")-SUMIFS(Pagos!$H:$H,Pagos!$D:$D,A59,Pagos!$I:$I,"USD"))</f>
        <v/>
      </c>
      <c r="T59" s="12" t="str">
        <f aca="false">IF(A59="","",SUMIFS(Pagos!$H:$H,Pagos!$D:$D,A59,Pagos!$I:$I,"ARS"))</f>
        <v/>
      </c>
      <c r="U59" s="13" t="str">
        <f aca="false">IF(A59="","",SUMIFS(Pagos!$H:$H,Pagos!$D:$D,A59,Pagos!$I:$I,"USD"))</f>
        <v/>
      </c>
    </row>
    <row r="60" customFormat="false" ht="15" hidden="false" customHeight="false" outlineLevel="0" collapsed="false">
      <c r="A60" s="6"/>
      <c r="B60" s="6"/>
      <c r="C60" s="6"/>
      <c r="D60" s="7"/>
      <c r="E60" s="7"/>
      <c r="F60" s="6"/>
      <c r="G60" s="7"/>
      <c r="H60" s="6"/>
      <c r="I60" s="6"/>
      <c r="J60" s="6"/>
      <c r="K60" s="9"/>
      <c r="L60" s="6"/>
      <c r="M60" s="6"/>
      <c r="N60" s="10"/>
      <c r="O60" s="6"/>
      <c r="P60" s="6"/>
      <c r="Q60" s="11" t="str">
        <f aca="false">IF(A60="","",TRIM(B60&amp;" "&amp;C60))</f>
        <v/>
      </c>
      <c r="R60" s="12" t="str">
        <f aca="false">IF(A60="","",SUMIFS(Sesiones!$F:$F,Sesiones!$C:$C,A60,Sesiones!$G:$G,"ARS")-SUMIFS(Pagos!$H:$H,Pagos!$D:$D,A60,Pagos!$I:$I,"ARS"))</f>
        <v/>
      </c>
      <c r="S60" s="13" t="str">
        <f aca="false">IF(A60="","",SUMIFS(Sesiones!$F:$F,Sesiones!$C:$C,A60,Sesiones!$G:$G,"USD")-SUMIFS(Pagos!$H:$H,Pagos!$D:$D,A60,Pagos!$I:$I,"USD"))</f>
        <v/>
      </c>
      <c r="T60" s="12" t="str">
        <f aca="false">IF(A60="","",SUMIFS(Pagos!$H:$H,Pagos!$D:$D,A60,Pagos!$I:$I,"ARS"))</f>
        <v/>
      </c>
      <c r="U60" s="13" t="str">
        <f aca="false">IF(A60="","",SUMIFS(Pagos!$H:$H,Pagos!$D:$D,A60,Pagos!$I:$I,"USD"))</f>
        <v/>
      </c>
    </row>
    <row r="61" customFormat="false" ht="15" hidden="false" customHeight="false" outlineLevel="0" collapsed="false">
      <c r="A61" s="6"/>
      <c r="B61" s="6"/>
      <c r="C61" s="6"/>
      <c r="D61" s="7"/>
      <c r="E61" s="7"/>
      <c r="F61" s="6"/>
      <c r="G61" s="7"/>
      <c r="H61" s="6"/>
      <c r="I61" s="6"/>
      <c r="J61" s="6"/>
      <c r="K61" s="9"/>
      <c r="L61" s="6"/>
      <c r="M61" s="6"/>
      <c r="N61" s="10"/>
      <c r="O61" s="6"/>
      <c r="P61" s="6"/>
      <c r="Q61" s="11" t="str">
        <f aca="false">IF(A61="","",TRIM(B61&amp;" "&amp;C61))</f>
        <v/>
      </c>
      <c r="R61" s="12" t="str">
        <f aca="false">IF(A61="","",SUMIFS(Sesiones!$F:$F,Sesiones!$C:$C,A61,Sesiones!$G:$G,"ARS")-SUMIFS(Pagos!$H:$H,Pagos!$D:$D,A61,Pagos!$I:$I,"ARS"))</f>
        <v/>
      </c>
      <c r="S61" s="13" t="str">
        <f aca="false">IF(A61="","",SUMIFS(Sesiones!$F:$F,Sesiones!$C:$C,A61,Sesiones!$G:$G,"USD")-SUMIFS(Pagos!$H:$H,Pagos!$D:$D,A61,Pagos!$I:$I,"USD"))</f>
        <v/>
      </c>
      <c r="T61" s="12" t="str">
        <f aca="false">IF(A61="","",SUMIFS(Pagos!$H:$H,Pagos!$D:$D,A61,Pagos!$I:$I,"ARS"))</f>
        <v/>
      </c>
      <c r="U61" s="13" t="str">
        <f aca="false">IF(A61="","",SUMIFS(Pagos!$H:$H,Pagos!$D:$D,A61,Pagos!$I:$I,"USD"))</f>
        <v/>
      </c>
    </row>
    <row r="62" customFormat="false" ht="15" hidden="false" customHeight="false" outlineLevel="0" collapsed="false">
      <c r="A62" s="6"/>
      <c r="B62" s="6"/>
      <c r="C62" s="6"/>
      <c r="D62" s="7"/>
      <c r="E62" s="7"/>
      <c r="F62" s="6"/>
      <c r="G62" s="7"/>
      <c r="H62" s="6"/>
      <c r="I62" s="6"/>
      <c r="J62" s="6"/>
      <c r="K62" s="9"/>
      <c r="L62" s="6"/>
      <c r="M62" s="6"/>
      <c r="N62" s="10"/>
      <c r="O62" s="6"/>
      <c r="P62" s="6"/>
      <c r="Q62" s="11" t="str">
        <f aca="false">IF(A62="","",TRIM(B62&amp;" "&amp;C62))</f>
        <v/>
      </c>
      <c r="R62" s="12" t="str">
        <f aca="false">IF(A62="","",SUMIFS(Sesiones!$F:$F,Sesiones!$C:$C,A62,Sesiones!$G:$G,"ARS")-SUMIFS(Pagos!$H:$H,Pagos!$D:$D,A62,Pagos!$I:$I,"ARS"))</f>
        <v/>
      </c>
      <c r="S62" s="13" t="str">
        <f aca="false">IF(A62="","",SUMIFS(Sesiones!$F:$F,Sesiones!$C:$C,A62,Sesiones!$G:$G,"USD")-SUMIFS(Pagos!$H:$H,Pagos!$D:$D,A62,Pagos!$I:$I,"USD"))</f>
        <v/>
      </c>
      <c r="T62" s="12" t="str">
        <f aca="false">IF(A62="","",SUMIFS(Pagos!$H:$H,Pagos!$D:$D,A62,Pagos!$I:$I,"ARS"))</f>
        <v/>
      </c>
      <c r="U62" s="13" t="str">
        <f aca="false">IF(A62="","",SUMIFS(Pagos!$H:$H,Pagos!$D:$D,A62,Pagos!$I:$I,"USD"))</f>
        <v/>
      </c>
    </row>
    <row r="63" customFormat="false" ht="15" hidden="false" customHeight="false" outlineLevel="0" collapsed="false">
      <c r="A63" s="6"/>
      <c r="B63" s="6"/>
      <c r="C63" s="6"/>
      <c r="D63" s="7"/>
      <c r="E63" s="7"/>
      <c r="F63" s="6"/>
      <c r="G63" s="7"/>
      <c r="H63" s="6"/>
      <c r="I63" s="6"/>
      <c r="J63" s="6"/>
      <c r="K63" s="9"/>
      <c r="L63" s="6"/>
      <c r="M63" s="6"/>
      <c r="N63" s="10"/>
      <c r="O63" s="6"/>
      <c r="P63" s="6"/>
      <c r="Q63" s="11" t="str">
        <f aca="false">IF(A63="","",TRIM(B63&amp;" "&amp;C63))</f>
        <v/>
      </c>
      <c r="R63" s="12" t="str">
        <f aca="false">IF(A63="","",SUMIFS(Sesiones!$F:$F,Sesiones!$C:$C,A63,Sesiones!$G:$G,"ARS")-SUMIFS(Pagos!$H:$H,Pagos!$D:$D,A63,Pagos!$I:$I,"ARS"))</f>
        <v/>
      </c>
      <c r="S63" s="13" t="str">
        <f aca="false">IF(A63="","",SUMIFS(Sesiones!$F:$F,Sesiones!$C:$C,A63,Sesiones!$G:$G,"USD")-SUMIFS(Pagos!$H:$H,Pagos!$D:$D,A63,Pagos!$I:$I,"USD"))</f>
        <v/>
      </c>
      <c r="T63" s="12" t="str">
        <f aca="false">IF(A63="","",SUMIFS(Pagos!$H:$H,Pagos!$D:$D,A63,Pagos!$I:$I,"ARS"))</f>
        <v/>
      </c>
      <c r="U63" s="13" t="str">
        <f aca="false">IF(A63="","",SUMIFS(Pagos!$H:$H,Pagos!$D:$D,A63,Pagos!$I:$I,"USD"))</f>
        <v/>
      </c>
    </row>
    <row r="64" customFormat="false" ht="15" hidden="false" customHeight="false" outlineLevel="0" collapsed="false">
      <c r="A64" s="6"/>
      <c r="B64" s="6"/>
      <c r="C64" s="6"/>
      <c r="D64" s="7"/>
      <c r="E64" s="7"/>
      <c r="F64" s="6"/>
      <c r="G64" s="7"/>
      <c r="H64" s="6"/>
      <c r="I64" s="6"/>
      <c r="J64" s="6"/>
      <c r="K64" s="9"/>
      <c r="L64" s="6"/>
      <c r="M64" s="6"/>
      <c r="N64" s="10"/>
      <c r="O64" s="6"/>
      <c r="P64" s="6"/>
      <c r="Q64" s="11" t="str">
        <f aca="false">IF(A64="","",TRIM(B64&amp;" "&amp;C64))</f>
        <v/>
      </c>
      <c r="R64" s="12" t="str">
        <f aca="false">IF(A64="","",SUMIFS(Sesiones!$F:$F,Sesiones!$C:$C,A64,Sesiones!$G:$G,"ARS")-SUMIFS(Pagos!$H:$H,Pagos!$D:$D,A64,Pagos!$I:$I,"ARS"))</f>
        <v/>
      </c>
      <c r="S64" s="13" t="str">
        <f aca="false">IF(A64="","",SUMIFS(Sesiones!$F:$F,Sesiones!$C:$C,A64,Sesiones!$G:$G,"USD")-SUMIFS(Pagos!$H:$H,Pagos!$D:$D,A64,Pagos!$I:$I,"USD"))</f>
        <v/>
      </c>
      <c r="T64" s="12" t="str">
        <f aca="false">IF(A64="","",SUMIFS(Pagos!$H:$H,Pagos!$D:$D,A64,Pagos!$I:$I,"ARS"))</f>
        <v/>
      </c>
      <c r="U64" s="13" t="str">
        <f aca="false">IF(A64="","",SUMIFS(Pagos!$H:$H,Pagos!$D:$D,A64,Pagos!$I:$I,"USD"))</f>
        <v/>
      </c>
    </row>
    <row r="65" customFormat="false" ht="15" hidden="false" customHeight="false" outlineLevel="0" collapsed="false">
      <c r="A65" s="6"/>
      <c r="B65" s="6"/>
      <c r="C65" s="6"/>
      <c r="D65" s="7"/>
      <c r="E65" s="7"/>
      <c r="F65" s="6"/>
      <c r="G65" s="7"/>
      <c r="H65" s="6"/>
      <c r="I65" s="6"/>
      <c r="J65" s="6"/>
      <c r="K65" s="9"/>
      <c r="L65" s="6"/>
      <c r="M65" s="6"/>
      <c r="N65" s="10"/>
      <c r="O65" s="6"/>
      <c r="P65" s="6"/>
      <c r="Q65" s="11" t="str">
        <f aca="false">IF(A65="","",TRIM(B65&amp;" "&amp;C65))</f>
        <v/>
      </c>
      <c r="R65" s="12" t="str">
        <f aca="false">IF(A65="","",SUMIFS(Sesiones!$F:$F,Sesiones!$C:$C,A65,Sesiones!$G:$G,"ARS")-SUMIFS(Pagos!$H:$H,Pagos!$D:$D,A65,Pagos!$I:$I,"ARS"))</f>
        <v/>
      </c>
      <c r="S65" s="13" t="str">
        <f aca="false">IF(A65="","",SUMIFS(Sesiones!$F:$F,Sesiones!$C:$C,A65,Sesiones!$G:$G,"USD")-SUMIFS(Pagos!$H:$H,Pagos!$D:$D,A65,Pagos!$I:$I,"USD"))</f>
        <v/>
      </c>
      <c r="T65" s="12" t="str">
        <f aca="false">IF(A65="","",SUMIFS(Pagos!$H:$H,Pagos!$D:$D,A65,Pagos!$I:$I,"ARS"))</f>
        <v/>
      </c>
      <c r="U65" s="13" t="str">
        <f aca="false">IF(A65="","",SUMIFS(Pagos!$H:$H,Pagos!$D:$D,A65,Pagos!$I:$I,"USD"))</f>
        <v/>
      </c>
    </row>
    <row r="66" customFormat="false" ht="15" hidden="false" customHeight="false" outlineLevel="0" collapsed="false">
      <c r="A66" s="6"/>
      <c r="B66" s="6"/>
      <c r="C66" s="6"/>
      <c r="D66" s="7"/>
      <c r="E66" s="7"/>
      <c r="F66" s="6"/>
      <c r="G66" s="7"/>
      <c r="H66" s="6"/>
      <c r="I66" s="6"/>
      <c r="J66" s="6"/>
      <c r="K66" s="9"/>
      <c r="L66" s="6"/>
      <c r="M66" s="6"/>
      <c r="N66" s="10"/>
      <c r="O66" s="6"/>
      <c r="P66" s="6"/>
      <c r="Q66" s="11" t="str">
        <f aca="false">IF(A66="","",TRIM(B66&amp;" "&amp;C66))</f>
        <v/>
      </c>
      <c r="R66" s="12" t="str">
        <f aca="false">IF(A66="","",SUMIFS(Sesiones!$F:$F,Sesiones!$C:$C,A66,Sesiones!$G:$G,"ARS")-SUMIFS(Pagos!$H:$H,Pagos!$D:$D,A66,Pagos!$I:$I,"ARS"))</f>
        <v/>
      </c>
      <c r="S66" s="13" t="str">
        <f aca="false">IF(A66="","",SUMIFS(Sesiones!$F:$F,Sesiones!$C:$C,A66,Sesiones!$G:$G,"USD")-SUMIFS(Pagos!$H:$H,Pagos!$D:$D,A66,Pagos!$I:$I,"USD"))</f>
        <v/>
      </c>
      <c r="T66" s="12" t="str">
        <f aca="false">IF(A66="","",SUMIFS(Pagos!$H:$H,Pagos!$D:$D,A66,Pagos!$I:$I,"ARS"))</f>
        <v/>
      </c>
      <c r="U66" s="13" t="str">
        <f aca="false">IF(A66="","",SUMIFS(Pagos!$H:$H,Pagos!$D:$D,A66,Pagos!$I:$I,"USD"))</f>
        <v/>
      </c>
    </row>
    <row r="67" customFormat="false" ht="15" hidden="false" customHeight="false" outlineLevel="0" collapsed="false">
      <c r="A67" s="6"/>
      <c r="B67" s="6"/>
      <c r="C67" s="6"/>
      <c r="D67" s="7"/>
      <c r="E67" s="7"/>
      <c r="F67" s="6"/>
      <c r="G67" s="7"/>
      <c r="H67" s="6"/>
      <c r="I67" s="6"/>
      <c r="J67" s="6"/>
      <c r="K67" s="9"/>
      <c r="L67" s="6"/>
      <c r="M67" s="6"/>
      <c r="N67" s="10"/>
      <c r="O67" s="6"/>
      <c r="P67" s="6"/>
      <c r="Q67" s="11" t="str">
        <f aca="false">IF(A67="","",TRIM(B67&amp;" "&amp;C67))</f>
        <v/>
      </c>
      <c r="R67" s="12" t="str">
        <f aca="false">IF(A67="","",SUMIFS(Sesiones!$F:$F,Sesiones!$C:$C,A67,Sesiones!$G:$G,"ARS")-SUMIFS(Pagos!$H:$H,Pagos!$D:$D,A67,Pagos!$I:$I,"ARS"))</f>
        <v/>
      </c>
      <c r="S67" s="13" t="str">
        <f aca="false">IF(A67="","",SUMIFS(Sesiones!$F:$F,Sesiones!$C:$C,A67,Sesiones!$G:$G,"USD")-SUMIFS(Pagos!$H:$H,Pagos!$D:$D,A67,Pagos!$I:$I,"USD"))</f>
        <v/>
      </c>
      <c r="T67" s="12" t="str">
        <f aca="false">IF(A67="","",SUMIFS(Pagos!$H:$H,Pagos!$D:$D,A67,Pagos!$I:$I,"ARS"))</f>
        <v/>
      </c>
      <c r="U67" s="13" t="str">
        <f aca="false">IF(A67="","",SUMIFS(Pagos!$H:$H,Pagos!$D:$D,A67,Pagos!$I:$I,"USD"))</f>
        <v/>
      </c>
    </row>
    <row r="68" customFormat="false" ht="15" hidden="false" customHeight="false" outlineLevel="0" collapsed="false">
      <c r="A68" s="6"/>
      <c r="B68" s="6"/>
      <c r="C68" s="6"/>
      <c r="D68" s="7"/>
      <c r="E68" s="7"/>
      <c r="F68" s="6"/>
      <c r="G68" s="7"/>
      <c r="H68" s="6"/>
      <c r="I68" s="6"/>
      <c r="J68" s="6"/>
      <c r="K68" s="9"/>
      <c r="L68" s="6"/>
      <c r="M68" s="6"/>
      <c r="N68" s="10"/>
      <c r="O68" s="6"/>
      <c r="P68" s="6"/>
      <c r="Q68" s="11" t="str">
        <f aca="false">IF(A68="","",TRIM(B68&amp;" "&amp;C68))</f>
        <v/>
      </c>
      <c r="R68" s="12" t="str">
        <f aca="false">IF(A68="","",SUMIFS(Sesiones!$F:$F,Sesiones!$C:$C,A68,Sesiones!$G:$G,"ARS")-SUMIFS(Pagos!$H:$H,Pagos!$D:$D,A68,Pagos!$I:$I,"ARS"))</f>
        <v/>
      </c>
      <c r="S68" s="13" t="str">
        <f aca="false">IF(A68="","",SUMIFS(Sesiones!$F:$F,Sesiones!$C:$C,A68,Sesiones!$G:$G,"USD")-SUMIFS(Pagos!$H:$H,Pagos!$D:$D,A68,Pagos!$I:$I,"USD"))</f>
        <v/>
      </c>
      <c r="T68" s="12" t="str">
        <f aca="false">IF(A68="","",SUMIFS(Pagos!$H:$H,Pagos!$D:$D,A68,Pagos!$I:$I,"ARS"))</f>
        <v/>
      </c>
      <c r="U68" s="13" t="str">
        <f aca="false">IF(A68="","",SUMIFS(Pagos!$H:$H,Pagos!$D:$D,A68,Pagos!$I:$I,"USD"))</f>
        <v/>
      </c>
    </row>
    <row r="69" customFormat="false" ht="15" hidden="false" customHeight="false" outlineLevel="0" collapsed="false">
      <c r="A69" s="6"/>
      <c r="B69" s="6"/>
      <c r="C69" s="6"/>
      <c r="D69" s="7"/>
      <c r="E69" s="7"/>
      <c r="F69" s="6"/>
      <c r="G69" s="7"/>
      <c r="H69" s="6"/>
      <c r="I69" s="6"/>
      <c r="J69" s="6"/>
      <c r="K69" s="9"/>
      <c r="L69" s="6"/>
      <c r="M69" s="6"/>
      <c r="N69" s="10"/>
      <c r="O69" s="6"/>
      <c r="P69" s="6"/>
      <c r="Q69" s="11" t="str">
        <f aca="false">IF(A69="","",TRIM(B69&amp;" "&amp;C69))</f>
        <v/>
      </c>
      <c r="R69" s="12" t="str">
        <f aca="false">IF(A69="","",SUMIFS(Sesiones!$F:$F,Sesiones!$C:$C,A69,Sesiones!$G:$G,"ARS")-SUMIFS(Pagos!$H:$H,Pagos!$D:$D,A69,Pagos!$I:$I,"ARS"))</f>
        <v/>
      </c>
      <c r="S69" s="13" t="str">
        <f aca="false">IF(A69="","",SUMIFS(Sesiones!$F:$F,Sesiones!$C:$C,A69,Sesiones!$G:$G,"USD")-SUMIFS(Pagos!$H:$H,Pagos!$D:$D,A69,Pagos!$I:$I,"USD"))</f>
        <v/>
      </c>
      <c r="T69" s="12" t="str">
        <f aca="false">IF(A69="","",SUMIFS(Pagos!$H:$H,Pagos!$D:$D,A69,Pagos!$I:$I,"ARS"))</f>
        <v/>
      </c>
      <c r="U69" s="13" t="str">
        <f aca="false">IF(A69="","",SUMIFS(Pagos!$H:$H,Pagos!$D:$D,A69,Pagos!$I:$I,"USD"))</f>
        <v/>
      </c>
    </row>
    <row r="70" customFormat="false" ht="15" hidden="false" customHeight="false" outlineLevel="0" collapsed="false">
      <c r="A70" s="6"/>
      <c r="B70" s="6"/>
      <c r="C70" s="6"/>
      <c r="D70" s="7"/>
      <c r="E70" s="7"/>
      <c r="F70" s="6"/>
      <c r="G70" s="7"/>
      <c r="H70" s="6"/>
      <c r="I70" s="6"/>
      <c r="J70" s="6"/>
      <c r="K70" s="9"/>
      <c r="L70" s="6"/>
      <c r="M70" s="6"/>
      <c r="N70" s="10"/>
      <c r="O70" s="6"/>
      <c r="P70" s="6"/>
      <c r="Q70" s="11" t="str">
        <f aca="false">IF(A70="","",TRIM(B70&amp;" "&amp;C70))</f>
        <v/>
      </c>
      <c r="R70" s="12" t="str">
        <f aca="false">IF(A70="","",SUMIFS(Sesiones!$F:$F,Sesiones!$C:$C,A70,Sesiones!$G:$G,"ARS")-SUMIFS(Pagos!$H:$H,Pagos!$D:$D,A70,Pagos!$I:$I,"ARS"))</f>
        <v/>
      </c>
      <c r="S70" s="13" t="str">
        <f aca="false">IF(A70="","",SUMIFS(Sesiones!$F:$F,Sesiones!$C:$C,A70,Sesiones!$G:$G,"USD")-SUMIFS(Pagos!$H:$H,Pagos!$D:$D,A70,Pagos!$I:$I,"USD"))</f>
        <v/>
      </c>
      <c r="T70" s="12" t="str">
        <f aca="false">IF(A70="","",SUMIFS(Pagos!$H:$H,Pagos!$D:$D,A70,Pagos!$I:$I,"ARS"))</f>
        <v/>
      </c>
      <c r="U70" s="13" t="str">
        <f aca="false">IF(A70="","",SUMIFS(Pagos!$H:$H,Pagos!$D:$D,A70,Pagos!$I:$I,"USD"))</f>
        <v/>
      </c>
    </row>
    <row r="71" customFormat="false" ht="15" hidden="false" customHeight="false" outlineLevel="0" collapsed="false">
      <c r="A71" s="6"/>
      <c r="B71" s="6"/>
      <c r="C71" s="6"/>
      <c r="D71" s="7"/>
      <c r="E71" s="7"/>
      <c r="F71" s="6"/>
      <c r="G71" s="7"/>
      <c r="H71" s="6"/>
      <c r="I71" s="6"/>
      <c r="J71" s="6"/>
      <c r="K71" s="9"/>
      <c r="L71" s="6"/>
      <c r="M71" s="6"/>
      <c r="N71" s="10"/>
      <c r="O71" s="6"/>
      <c r="P71" s="6"/>
      <c r="Q71" s="11" t="str">
        <f aca="false">IF(A71="","",TRIM(B71&amp;" "&amp;C71))</f>
        <v/>
      </c>
      <c r="R71" s="12" t="str">
        <f aca="false">IF(A71="","",SUMIFS(Sesiones!$F:$F,Sesiones!$C:$C,A71,Sesiones!$G:$G,"ARS")-SUMIFS(Pagos!$H:$H,Pagos!$D:$D,A71,Pagos!$I:$I,"ARS"))</f>
        <v/>
      </c>
      <c r="S71" s="13" t="str">
        <f aca="false">IF(A71="","",SUMIFS(Sesiones!$F:$F,Sesiones!$C:$C,A71,Sesiones!$G:$G,"USD")-SUMIFS(Pagos!$H:$H,Pagos!$D:$D,A71,Pagos!$I:$I,"USD"))</f>
        <v/>
      </c>
      <c r="T71" s="12" t="str">
        <f aca="false">IF(A71="","",SUMIFS(Pagos!$H:$H,Pagos!$D:$D,A71,Pagos!$I:$I,"ARS"))</f>
        <v/>
      </c>
      <c r="U71" s="13" t="str">
        <f aca="false">IF(A71="","",SUMIFS(Pagos!$H:$H,Pagos!$D:$D,A71,Pagos!$I:$I,"USD"))</f>
        <v/>
      </c>
    </row>
    <row r="72" customFormat="false" ht="15" hidden="false" customHeight="false" outlineLevel="0" collapsed="false">
      <c r="A72" s="6"/>
      <c r="B72" s="6"/>
      <c r="C72" s="6"/>
      <c r="D72" s="7"/>
      <c r="E72" s="7"/>
      <c r="F72" s="6"/>
      <c r="G72" s="7"/>
      <c r="H72" s="6"/>
      <c r="I72" s="6"/>
      <c r="J72" s="6"/>
      <c r="K72" s="9"/>
      <c r="L72" s="6"/>
      <c r="M72" s="6"/>
      <c r="N72" s="10"/>
      <c r="O72" s="6"/>
      <c r="P72" s="6"/>
      <c r="Q72" s="11" t="str">
        <f aca="false">IF(A72="","",TRIM(B72&amp;" "&amp;C72))</f>
        <v/>
      </c>
      <c r="R72" s="12" t="str">
        <f aca="false">IF(A72="","",SUMIFS(Sesiones!$F:$F,Sesiones!$C:$C,A72,Sesiones!$G:$G,"ARS")-SUMIFS(Pagos!$H:$H,Pagos!$D:$D,A72,Pagos!$I:$I,"ARS"))</f>
        <v/>
      </c>
      <c r="S72" s="13" t="str">
        <f aca="false">IF(A72="","",SUMIFS(Sesiones!$F:$F,Sesiones!$C:$C,A72,Sesiones!$G:$G,"USD")-SUMIFS(Pagos!$H:$H,Pagos!$D:$D,A72,Pagos!$I:$I,"USD"))</f>
        <v/>
      </c>
      <c r="T72" s="12" t="str">
        <f aca="false">IF(A72="","",SUMIFS(Pagos!$H:$H,Pagos!$D:$D,A72,Pagos!$I:$I,"ARS"))</f>
        <v/>
      </c>
      <c r="U72" s="13" t="str">
        <f aca="false">IF(A72="","",SUMIFS(Pagos!$H:$H,Pagos!$D:$D,A72,Pagos!$I:$I,"USD"))</f>
        <v/>
      </c>
    </row>
    <row r="73" customFormat="false" ht="15" hidden="false" customHeight="false" outlineLevel="0" collapsed="false">
      <c r="A73" s="6"/>
      <c r="B73" s="6"/>
      <c r="C73" s="6"/>
      <c r="D73" s="7"/>
      <c r="E73" s="7"/>
      <c r="F73" s="6"/>
      <c r="G73" s="7"/>
      <c r="H73" s="6"/>
      <c r="I73" s="6"/>
      <c r="J73" s="6"/>
      <c r="K73" s="9"/>
      <c r="L73" s="6"/>
      <c r="M73" s="6"/>
      <c r="N73" s="10"/>
      <c r="O73" s="6"/>
      <c r="P73" s="6"/>
      <c r="Q73" s="11" t="str">
        <f aca="false">IF(A73="","",TRIM(B73&amp;" "&amp;C73))</f>
        <v/>
      </c>
      <c r="R73" s="12" t="str">
        <f aca="false">IF(A73="","",SUMIFS(Sesiones!$F:$F,Sesiones!$C:$C,A73,Sesiones!$G:$G,"ARS")-SUMIFS(Pagos!$H:$H,Pagos!$D:$D,A73,Pagos!$I:$I,"ARS"))</f>
        <v/>
      </c>
      <c r="S73" s="13" t="str">
        <f aca="false">IF(A73="","",SUMIFS(Sesiones!$F:$F,Sesiones!$C:$C,A73,Sesiones!$G:$G,"USD")-SUMIFS(Pagos!$H:$H,Pagos!$D:$D,A73,Pagos!$I:$I,"USD"))</f>
        <v/>
      </c>
      <c r="T73" s="12" t="str">
        <f aca="false">IF(A73="","",SUMIFS(Pagos!$H:$H,Pagos!$D:$D,A73,Pagos!$I:$I,"ARS"))</f>
        <v/>
      </c>
      <c r="U73" s="13" t="str">
        <f aca="false">IF(A73="","",SUMIFS(Pagos!$H:$H,Pagos!$D:$D,A73,Pagos!$I:$I,"USD"))</f>
        <v/>
      </c>
    </row>
    <row r="74" customFormat="false" ht="15" hidden="false" customHeight="false" outlineLevel="0" collapsed="false">
      <c r="A74" s="6"/>
      <c r="B74" s="6"/>
      <c r="C74" s="6"/>
      <c r="D74" s="7"/>
      <c r="E74" s="7"/>
      <c r="F74" s="6"/>
      <c r="G74" s="7"/>
      <c r="H74" s="6"/>
      <c r="I74" s="6"/>
      <c r="J74" s="6"/>
      <c r="K74" s="9"/>
      <c r="L74" s="6"/>
      <c r="M74" s="6"/>
      <c r="N74" s="10"/>
      <c r="O74" s="6"/>
      <c r="P74" s="6"/>
      <c r="Q74" s="11" t="str">
        <f aca="false">IF(A74="","",TRIM(B74&amp;" "&amp;C74))</f>
        <v/>
      </c>
      <c r="R74" s="12" t="str">
        <f aca="false">IF(A74="","",SUMIFS(Sesiones!$F:$F,Sesiones!$C:$C,A74,Sesiones!$G:$G,"ARS")-SUMIFS(Pagos!$H:$H,Pagos!$D:$D,A74,Pagos!$I:$I,"ARS"))</f>
        <v/>
      </c>
      <c r="S74" s="13" t="str">
        <f aca="false">IF(A74="","",SUMIFS(Sesiones!$F:$F,Sesiones!$C:$C,A74,Sesiones!$G:$G,"USD")-SUMIFS(Pagos!$H:$H,Pagos!$D:$D,A74,Pagos!$I:$I,"USD"))</f>
        <v/>
      </c>
      <c r="T74" s="12" t="str">
        <f aca="false">IF(A74="","",SUMIFS(Pagos!$H:$H,Pagos!$D:$D,A74,Pagos!$I:$I,"ARS"))</f>
        <v/>
      </c>
      <c r="U74" s="13" t="str">
        <f aca="false">IF(A74="","",SUMIFS(Pagos!$H:$H,Pagos!$D:$D,A74,Pagos!$I:$I,"USD"))</f>
        <v/>
      </c>
    </row>
    <row r="75" customFormat="false" ht="15" hidden="false" customHeight="false" outlineLevel="0" collapsed="false">
      <c r="A75" s="6"/>
      <c r="B75" s="6"/>
      <c r="C75" s="6"/>
      <c r="D75" s="7"/>
      <c r="E75" s="7"/>
      <c r="F75" s="6"/>
      <c r="G75" s="7"/>
      <c r="H75" s="6"/>
      <c r="I75" s="6"/>
      <c r="J75" s="6"/>
      <c r="K75" s="9"/>
      <c r="L75" s="6"/>
      <c r="M75" s="6"/>
      <c r="N75" s="10"/>
      <c r="O75" s="6"/>
      <c r="P75" s="6"/>
      <c r="Q75" s="11" t="str">
        <f aca="false">IF(A75="","",TRIM(B75&amp;" "&amp;C75))</f>
        <v/>
      </c>
      <c r="R75" s="12" t="str">
        <f aca="false">IF(A75="","",SUMIFS(Sesiones!$F:$F,Sesiones!$C:$C,A75,Sesiones!$G:$G,"ARS")-SUMIFS(Pagos!$H:$H,Pagos!$D:$D,A75,Pagos!$I:$I,"ARS"))</f>
        <v/>
      </c>
      <c r="S75" s="13" t="str">
        <f aca="false">IF(A75="","",SUMIFS(Sesiones!$F:$F,Sesiones!$C:$C,A75,Sesiones!$G:$G,"USD")-SUMIFS(Pagos!$H:$H,Pagos!$D:$D,A75,Pagos!$I:$I,"USD"))</f>
        <v/>
      </c>
      <c r="T75" s="12" t="str">
        <f aca="false">IF(A75="","",SUMIFS(Pagos!$H:$H,Pagos!$D:$D,A75,Pagos!$I:$I,"ARS"))</f>
        <v/>
      </c>
      <c r="U75" s="13" t="str">
        <f aca="false">IF(A75="","",SUMIFS(Pagos!$H:$H,Pagos!$D:$D,A75,Pagos!$I:$I,"USD"))</f>
        <v/>
      </c>
    </row>
    <row r="76" customFormat="false" ht="15" hidden="false" customHeight="false" outlineLevel="0" collapsed="false">
      <c r="A76" s="6"/>
      <c r="B76" s="6"/>
      <c r="C76" s="6"/>
      <c r="D76" s="7"/>
      <c r="E76" s="7"/>
      <c r="F76" s="6"/>
      <c r="G76" s="7"/>
      <c r="H76" s="6"/>
      <c r="I76" s="6"/>
      <c r="J76" s="6"/>
      <c r="K76" s="9"/>
      <c r="L76" s="6"/>
      <c r="M76" s="6"/>
      <c r="N76" s="10"/>
      <c r="O76" s="6"/>
      <c r="P76" s="6"/>
      <c r="Q76" s="11" t="str">
        <f aca="false">IF(A76="","",TRIM(B76&amp;" "&amp;C76))</f>
        <v/>
      </c>
      <c r="R76" s="12" t="str">
        <f aca="false">IF(A76="","",SUMIFS(Sesiones!$F:$F,Sesiones!$C:$C,A76,Sesiones!$G:$G,"ARS")-SUMIFS(Pagos!$H:$H,Pagos!$D:$D,A76,Pagos!$I:$I,"ARS"))</f>
        <v/>
      </c>
      <c r="S76" s="13" t="str">
        <f aca="false">IF(A76="","",SUMIFS(Sesiones!$F:$F,Sesiones!$C:$C,A76,Sesiones!$G:$G,"USD")-SUMIFS(Pagos!$H:$H,Pagos!$D:$D,A76,Pagos!$I:$I,"USD"))</f>
        <v/>
      </c>
      <c r="T76" s="12" t="str">
        <f aca="false">IF(A76="","",SUMIFS(Pagos!$H:$H,Pagos!$D:$D,A76,Pagos!$I:$I,"ARS"))</f>
        <v/>
      </c>
      <c r="U76" s="13" t="str">
        <f aca="false">IF(A76="","",SUMIFS(Pagos!$H:$H,Pagos!$D:$D,A76,Pagos!$I:$I,"USD"))</f>
        <v/>
      </c>
    </row>
    <row r="77" customFormat="false" ht="15" hidden="false" customHeight="false" outlineLevel="0" collapsed="false">
      <c r="A77" s="6"/>
      <c r="B77" s="6"/>
      <c r="C77" s="6"/>
      <c r="D77" s="7"/>
      <c r="E77" s="7"/>
      <c r="F77" s="6"/>
      <c r="G77" s="7"/>
      <c r="H77" s="6"/>
      <c r="I77" s="6"/>
      <c r="J77" s="6"/>
      <c r="K77" s="9"/>
      <c r="L77" s="6"/>
      <c r="M77" s="6"/>
      <c r="N77" s="10"/>
      <c r="O77" s="6"/>
      <c r="P77" s="6"/>
      <c r="Q77" s="11" t="str">
        <f aca="false">IF(A77="","",TRIM(B77&amp;" "&amp;C77))</f>
        <v/>
      </c>
      <c r="R77" s="12" t="str">
        <f aca="false">IF(A77="","",SUMIFS(Sesiones!$F:$F,Sesiones!$C:$C,A77,Sesiones!$G:$G,"ARS")-SUMIFS(Pagos!$H:$H,Pagos!$D:$D,A77,Pagos!$I:$I,"ARS"))</f>
        <v/>
      </c>
      <c r="S77" s="13" t="str">
        <f aca="false">IF(A77="","",SUMIFS(Sesiones!$F:$F,Sesiones!$C:$C,A77,Sesiones!$G:$G,"USD")-SUMIFS(Pagos!$H:$H,Pagos!$D:$D,A77,Pagos!$I:$I,"USD"))</f>
        <v/>
      </c>
      <c r="T77" s="12" t="str">
        <f aca="false">IF(A77="","",SUMIFS(Pagos!$H:$H,Pagos!$D:$D,A77,Pagos!$I:$I,"ARS"))</f>
        <v/>
      </c>
      <c r="U77" s="13" t="str">
        <f aca="false">IF(A77="","",SUMIFS(Pagos!$H:$H,Pagos!$D:$D,A77,Pagos!$I:$I,"USD"))</f>
        <v/>
      </c>
    </row>
    <row r="78" customFormat="false" ht="15" hidden="false" customHeight="false" outlineLevel="0" collapsed="false">
      <c r="A78" s="6"/>
      <c r="B78" s="6"/>
      <c r="C78" s="6"/>
      <c r="D78" s="7"/>
      <c r="E78" s="7"/>
      <c r="F78" s="6"/>
      <c r="G78" s="7"/>
      <c r="H78" s="6"/>
      <c r="I78" s="6"/>
      <c r="J78" s="6"/>
      <c r="K78" s="9"/>
      <c r="L78" s="6"/>
      <c r="M78" s="6"/>
      <c r="N78" s="10"/>
      <c r="O78" s="6"/>
      <c r="P78" s="6"/>
      <c r="Q78" s="11" t="str">
        <f aca="false">IF(A78="","",TRIM(B78&amp;" "&amp;C78))</f>
        <v/>
      </c>
      <c r="R78" s="12" t="str">
        <f aca="false">IF(A78="","",SUMIFS(Sesiones!$F:$F,Sesiones!$C:$C,A78,Sesiones!$G:$G,"ARS")-SUMIFS(Pagos!$H:$H,Pagos!$D:$D,A78,Pagos!$I:$I,"ARS"))</f>
        <v/>
      </c>
      <c r="S78" s="13" t="str">
        <f aca="false">IF(A78="","",SUMIFS(Sesiones!$F:$F,Sesiones!$C:$C,A78,Sesiones!$G:$G,"USD")-SUMIFS(Pagos!$H:$H,Pagos!$D:$D,A78,Pagos!$I:$I,"USD"))</f>
        <v/>
      </c>
      <c r="T78" s="12" t="str">
        <f aca="false">IF(A78="","",SUMIFS(Pagos!$H:$H,Pagos!$D:$D,A78,Pagos!$I:$I,"ARS"))</f>
        <v/>
      </c>
      <c r="U78" s="13" t="str">
        <f aca="false">IF(A78="","",SUMIFS(Pagos!$H:$H,Pagos!$D:$D,A78,Pagos!$I:$I,"USD"))</f>
        <v/>
      </c>
    </row>
    <row r="79" customFormat="false" ht="15" hidden="false" customHeight="false" outlineLevel="0" collapsed="false">
      <c r="A79" s="6"/>
      <c r="B79" s="6"/>
      <c r="C79" s="6"/>
      <c r="D79" s="7"/>
      <c r="E79" s="7"/>
      <c r="F79" s="6"/>
      <c r="G79" s="7"/>
      <c r="H79" s="6"/>
      <c r="I79" s="6"/>
      <c r="J79" s="6"/>
      <c r="K79" s="9"/>
      <c r="L79" s="6"/>
      <c r="M79" s="6"/>
      <c r="N79" s="10"/>
      <c r="O79" s="6"/>
      <c r="P79" s="6"/>
      <c r="Q79" s="11" t="str">
        <f aca="false">IF(A79="","",TRIM(B79&amp;" "&amp;C79))</f>
        <v/>
      </c>
      <c r="R79" s="12" t="str">
        <f aca="false">IF(A79="","",SUMIFS(Sesiones!$F:$F,Sesiones!$C:$C,A79,Sesiones!$G:$G,"ARS")-SUMIFS(Pagos!$H:$H,Pagos!$D:$D,A79,Pagos!$I:$I,"ARS"))</f>
        <v/>
      </c>
      <c r="S79" s="13" t="str">
        <f aca="false">IF(A79="","",SUMIFS(Sesiones!$F:$F,Sesiones!$C:$C,A79,Sesiones!$G:$G,"USD")-SUMIFS(Pagos!$H:$H,Pagos!$D:$D,A79,Pagos!$I:$I,"USD"))</f>
        <v/>
      </c>
      <c r="T79" s="12" t="str">
        <f aca="false">IF(A79="","",SUMIFS(Pagos!$H:$H,Pagos!$D:$D,A79,Pagos!$I:$I,"ARS"))</f>
        <v/>
      </c>
      <c r="U79" s="13" t="str">
        <f aca="false">IF(A79="","",SUMIFS(Pagos!$H:$H,Pagos!$D:$D,A79,Pagos!$I:$I,"USD"))</f>
        <v/>
      </c>
    </row>
    <row r="80" customFormat="false" ht="15" hidden="false" customHeight="false" outlineLevel="0" collapsed="false">
      <c r="A80" s="6"/>
      <c r="B80" s="6"/>
      <c r="C80" s="6"/>
      <c r="D80" s="7"/>
      <c r="E80" s="7"/>
      <c r="F80" s="6"/>
      <c r="G80" s="7"/>
      <c r="H80" s="6"/>
      <c r="I80" s="6"/>
      <c r="J80" s="6"/>
      <c r="K80" s="9"/>
      <c r="L80" s="6"/>
      <c r="M80" s="6"/>
      <c r="N80" s="10"/>
      <c r="O80" s="6"/>
      <c r="P80" s="6"/>
      <c r="Q80" s="11" t="str">
        <f aca="false">IF(A80="","",TRIM(B80&amp;" "&amp;C80))</f>
        <v/>
      </c>
      <c r="R80" s="12" t="str">
        <f aca="false">IF(A80="","",SUMIFS(Sesiones!$F:$F,Sesiones!$C:$C,A80,Sesiones!$G:$G,"ARS")-SUMIFS(Pagos!$H:$H,Pagos!$D:$D,A80,Pagos!$I:$I,"ARS"))</f>
        <v/>
      </c>
      <c r="S80" s="13" t="str">
        <f aca="false">IF(A80="","",SUMIFS(Sesiones!$F:$F,Sesiones!$C:$C,A80,Sesiones!$G:$G,"USD")-SUMIFS(Pagos!$H:$H,Pagos!$D:$D,A80,Pagos!$I:$I,"USD"))</f>
        <v/>
      </c>
      <c r="T80" s="12" t="str">
        <f aca="false">IF(A80="","",SUMIFS(Pagos!$H:$H,Pagos!$D:$D,A80,Pagos!$I:$I,"ARS"))</f>
        <v/>
      </c>
      <c r="U80" s="13" t="str">
        <f aca="false">IF(A80="","",SUMIFS(Pagos!$H:$H,Pagos!$D:$D,A80,Pagos!$I:$I,"USD"))</f>
        <v/>
      </c>
    </row>
    <row r="81" customFormat="false" ht="15" hidden="false" customHeight="false" outlineLevel="0" collapsed="false">
      <c r="A81" s="6"/>
      <c r="B81" s="6"/>
      <c r="C81" s="6"/>
      <c r="D81" s="7"/>
      <c r="E81" s="7"/>
      <c r="F81" s="6"/>
      <c r="G81" s="7"/>
      <c r="H81" s="6"/>
      <c r="I81" s="6"/>
      <c r="J81" s="6"/>
      <c r="K81" s="9"/>
      <c r="L81" s="6"/>
      <c r="M81" s="6"/>
      <c r="N81" s="10"/>
      <c r="O81" s="6"/>
      <c r="P81" s="6"/>
      <c r="Q81" s="11" t="str">
        <f aca="false">IF(A81="","",TRIM(B81&amp;" "&amp;C81))</f>
        <v/>
      </c>
      <c r="R81" s="12" t="str">
        <f aca="false">IF(A81="","",SUMIFS(Sesiones!$F:$F,Sesiones!$C:$C,A81,Sesiones!$G:$G,"ARS")-SUMIFS(Pagos!$H:$H,Pagos!$D:$D,A81,Pagos!$I:$I,"ARS"))</f>
        <v/>
      </c>
      <c r="S81" s="13" t="str">
        <f aca="false">IF(A81="","",SUMIFS(Sesiones!$F:$F,Sesiones!$C:$C,A81,Sesiones!$G:$G,"USD")-SUMIFS(Pagos!$H:$H,Pagos!$D:$D,A81,Pagos!$I:$I,"USD"))</f>
        <v/>
      </c>
      <c r="T81" s="12" t="str">
        <f aca="false">IF(A81="","",SUMIFS(Pagos!$H:$H,Pagos!$D:$D,A81,Pagos!$I:$I,"ARS"))</f>
        <v/>
      </c>
      <c r="U81" s="13" t="str">
        <f aca="false">IF(A81="","",SUMIFS(Pagos!$H:$H,Pagos!$D:$D,A81,Pagos!$I:$I,"USD"))</f>
        <v/>
      </c>
    </row>
    <row r="82" customFormat="false" ht="15" hidden="false" customHeight="false" outlineLevel="0" collapsed="false">
      <c r="A82" s="6"/>
      <c r="B82" s="6"/>
      <c r="C82" s="6"/>
      <c r="D82" s="7"/>
      <c r="E82" s="7"/>
      <c r="F82" s="6"/>
      <c r="G82" s="7"/>
      <c r="H82" s="6"/>
      <c r="I82" s="6"/>
      <c r="J82" s="6"/>
      <c r="K82" s="9"/>
      <c r="L82" s="6"/>
      <c r="M82" s="6"/>
      <c r="N82" s="10"/>
      <c r="O82" s="6"/>
      <c r="P82" s="6"/>
      <c r="Q82" s="11" t="str">
        <f aca="false">IF(A82="","",TRIM(B82&amp;" "&amp;C82))</f>
        <v/>
      </c>
      <c r="R82" s="12" t="str">
        <f aca="false">IF(A82="","",SUMIFS(Sesiones!$F:$F,Sesiones!$C:$C,A82,Sesiones!$G:$G,"ARS")-SUMIFS(Pagos!$H:$H,Pagos!$D:$D,A82,Pagos!$I:$I,"ARS"))</f>
        <v/>
      </c>
      <c r="S82" s="13" t="str">
        <f aca="false">IF(A82="","",SUMIFS(Sesiones!$F:$F,Sesiones!$C:$C,A82,Sesiones!$G:$G,"USD")-SUMIFS(Pagos!$H:$H,Pagos!$D:$D,A82,Pagos!$I:$I,"USD"))</f>
        <v/>
      </c>
      <c r="T82" s="12" t="str">
        <f aca="false">IF(A82="","",SUMIFS(Pagos!$H:$H,Pagos!$D:$D,A82,Pagos!$I:$I,"ARS"))</f>
        <v/>
      </c>
      <c r="U82" s="13" t="str">
        <f aca="false">IF(A82="","",SUMIFS(Pagos!$H:$H,Pagos!$D:$D,A82,Pagos!$I:$I,"USD"))</f>
        <v/>
      </c>
    </row>
    <row r="83" customFormat="false" ht="15" hidden="false" customHeight="false" outlineLevel="0" collapsed="false">
      <c r="A83" s="6"/>
      <c r="B83" s="6"/>
      <c r="C83" s="6"/>
      <c r="D83" s="7"/>
      <c r="E83" s="7"/>
      <c r="F83" s="6"/>
      <c r="G83" s="7"/>
      <c r="H83" s="6"/>
      <c r="I83" s="6"/>
      <c r="J83" s="6"/>
      <c r="K83" s="9"/>
      <c r="L83" s="6"/>
      <c r="M83" s="6"/>
      <c r="N83" s="10"/>
      <c r="O83" s="6"/>
      <c r="P83" s="6"/>
      <c r="Q83" s="11" t="str">
        <f aca="false">IF(A83="","",TRIM(B83&amp;" "&amp;C83))</f>
        <v/>
      </c>
      <c r="R83" s="12" t="str">
        <f aca="false">IF(A83="","",SUMIFS(Sesiones!$F:$F,Sesiones!$C:$C,A83,Sesiones!$G:$G,"ARS")-SUMIFS(Pagos!$H:$H,Pagos!$D:$D,A83,Pagos!$I:$I,"ARS"))</f>
        <v/>
      </c>
      <c r="S83" s="13" t="str">
        <f aca="false">IF(A83="","",SUMIFS(Sesiones!$F:$F,Sesiones!$C:$C,A83,Sesiones!$G:$G,"USD")-SUMIFS(Pagos!$H:$H,Pagos!$D:$D,A83,Pagos!$I:$I,"USD"))</f>
        <v/>
      </c>
      <c r="T83" s="12" t="str">
        <f aca="false">IF(A83="","",SUMIFS(Pagos!$H:$H,Pagos!$D:$D,A83,Pagos!$I:$I,"ARS"))</f>
        <v/>
      </c>
      <c r="U83" s="13" t="str">
        <f aca="false">IF(A83="","",SUMIFS(Pagos!$H:$H,Pagos!$D:$D,A83,Pagos!$I:$I,"USD"))</f>
        <v/>
      </c>
    </row>
    <row r="84" customFormat="false" ht="15" hidden="false" customHeight="false" outlineLevel="0" collapsed="false">
      <c r="A84" s="6"/>
      <c r="B84" s="6"/>
      <c r="C84" s="6"/>
      <c r="D84" s="7"/>
      <c r="E84" s="7"/>
      <c r="F84" s="6"/>
      <c r="G84" s="7"/>
      <c r="H84" s="6"/>
      <c r="I84" s="6"/>
      <c r="J84" s="6"/>
      <c r="K84" s="9"/>
      <c r="L84" s="6"/>
      <c r="M84" s="6"/>
      <c r="N84" s="10"/>
      <c r="O84" s="6"/>
      <c r="P84" s="6"/>
      <c r="Q84" s="11" t="str">
        <f aca="false">IF(A84="","",TRIM(B84&amp;" "&amp;C84))</f>
        <v/>
      </c>
      <c r="R84" s="12" t="str">
        <f aca="false">IF(A84="","",SUMIFS(Sesiones!$F:$F,Sesiones!$C:$C,A84,Sesiones!$G:$G,"ARS")-SUMIFS(Pagos!$H:$H,Pagos!$D:$D,A84,Pagos!$I:$I,"ARS"))</f>
        <v/>
      </c>
      <c r="S84" s="13" t="str">
        <f aca="false">IF(A84="","",SUMIFS(Sesiones!$F:$F,Sesiones!$C:$C,A84,Sesiones!$G:$G,"USD")-SUMIFS(Pagos!$H:$H,Pagos!$D:$D,A84,Pagos!$I:$I,"USD"))</f>
        <v/>
      </c>
      <c r="T84" s="12" t="str">
        <f aca="false">IF(A84="","",SUMIFS(Pagos!$H:$H,Pagos!$D:$D,A84,Pagos!$I:$I,"ARS"))</f>
        <v/>
      </c>
      <c r="U84" s="13" t="str">
        <f aca="false">IF(A84="","",SUMIFS(Pagos!$H:$H,Pagos!$D:$D,A84,Pagos!$I:$I,"USD"))</f>
        <v/>
      </c>
    </row>
    <row r="85" customFormat="false" ht="15" hidden="false" customHeight="false" outlineLevel="0" collapsed="false">
      <c r="A85" s="6"/>
      <c r="B85" s="6"/>
      <c r="C85" s="6"/>
      <c r="D85" s="7"/>
      <c r="E85" s="7"/>
      <c r="F85" s="6"/>
      <c r="G85" s="7"/>
      <c r="H85" s="6"/>
      <c r="I85" s="6"/>
      <c r="J85" s="6"/>
      <c r="K85" s="9"/>
      <c r="L85" s="6"/>
      <c r="M85" s="6"/>
      <c r="N85" s="10"/>
      <c r="O85" s="6"/>
      <c r="P85" s="6"/>
      <c r="Q85" s="11" t="str">
        <f aca="false">IF(A85="","",TRIM(B85&amp;" "&amp;C85))</f>
        <v/>
      </c>
      <c r="R85" s="12" t="str">
        <f aca="false">IF(A85="","",SUMIFS(Sesiones!$F:$F,Sesiones!$C:$C,A85,Sesiones!$G:$G,"ARS")-SUMIFS(Pagos!$H:$H,Pagos!$D:$D,A85,Pagos!$I:$I,"ARS"))</f>
        <v/>
      </c>
      <c r="S85" s="13" t="str">
        <f aca="false">IF(A85="","",SUMIFS(Sesiones!$F:$F,Sesiones!$C:$C,A85,Sesiones!$G:$G,"USD")-SUMIFS(Pagos!$H:$H,Pagos!$D:$D,A85,Pagos!$I:$I,"USD"))</f>
        <v/>
      </c>
      <c r="T85" s="12" t="str">
        <f aca="false">IF(A85="","",SUMIFS(Pagos!$H:$H,Pagos!$D:$D,A85,Pagos!$I:$I,"ARS"))</f>
        <v/>
      </c>
      <c r="U85" s="13" t="str">
        <f aca="false">IF(A85="","",SUMIFS(Pagos!$H:$H,Pagos!$D:$D,A85,Pagos!$I:$I,"USD"))</f>
        <v/>
      </c>
    </row>
    <row r="86" customFormat="false" ht="15" hidden="false" customHeight="false" outlineLevel="0" collapsed="false">
      <c r="A86" s="6"/>
      <c r="B86" s="6"/>
      <c r="C86" s="6"/>
      <c r="D86" s="7"/>
      <c r="E86" s="7"/>
      <c r="F86" s="6"/>
      <c r="G86" s="7"/>
      <c r="H86" s="6"/>
      <c r="I86" s="6"/>
      <c r="J86" s="6"/>
      <c r="K86" s="9"/>
      <c r="L86" s="6"/>
      <c r="M86" s="6"/>
      <c r="N86" s="10"/>
      <c r="O86" s="6"/>
      <c r="P86" s="6"/>
      <c r="Q86" s="11" t="str">
        <f aca="false">IF(A86="","",TRIM(B86&amp;" "&amp;C86))</f>
        <v/>
      </c>
      <c r="R86" s="12" t="str">
        <f aca="false">IF(A86="","",SUMIFS(Sesiones!$F:$F,Sesiones!$C:$C,A86,Sesiones!$G:$G,"ARS")-SUMIFS(Pagos!$H:$H,Pagos!$D:$D,A86,Pagos!$I:$I,"ARS"))</f>
        <v/>
      </c>
      <c r="S86" s="13" t="str">
        <f aca="false">IF(A86="","",SUMIFS(Sesiones!$F:$F,Sesiones!$C:$C,A86,Sesiones!$G:$G,"USD")-SUMIFS(Pagos!$H:$H,Pagos!$D:$D,A86,Pagos!$I:$I,"USD"))</f>
        <v/>
      </c>
      <c r="T86" s="12" t="str">
        <f aca="false">IF(A86="","",SUMIFS(Pagos!$H:$H,Pagos!$D:$D,A86,Pagos!$I:$I,"ARS"))</f>
        <v/>
      </c>
      <c r="U86" s="13" t="str">
        <f aca="false">IF(A86="","",SUMIFS(Pagos!$H:$H,Pagos!$D:$D,A86,Pagos!$I:$I,"USD"))</f>
        <v/>
      </c>
    </row>
    <row r="87" customFormat="false" ht="15" hidden="false" customHeight="false" outlineLevel="0" collapsed="false">
      <c r="A87" s="6"/>
      <c r="B87" s="6"/>
      <c r="C87" s="6"/>
      <c r="D87" s="7"/>
      <c r="E87" s="7"/>
      <c r="F87" s="6"/>
      <c r="G87" s="7"/>
      <c r="H87" s="6"/>
      <c r="I87" s="6"/>
      <c r="J87" s="6"/>
      <c r="K87" s="9"/>
      <c r="L87" s="6"/>
      <c r="M87" s="6"/>
      <c r="N87" s="10"/>
      <c r="O87" s="6"/>
      <c r="P87" s="6"/>
      <c r="Q87" s="11" t="str">
        <f aca="false">IF(A87="","",TRIM(B87&amp;" "&amp;C87))</f>
        <v/>
      </c>
      <c r="R87" s="12" t="str">
        <f aca="false">IF(A87="","",SUMIFS(Sesiones!$F:$F,Sesiones!$C:$C,A87,Sesiones!$G:$G,"ARS")-SUMIFS(Pagos!$H:$H,Pagos!$D:$D,A87,Pagos!$I:$I,"ARS"))</f>
        <v/>
      </c>
      <c r="S87" s="13" t="str">
        <f aca="false">IF(A87="","",SUMIFS(Sesiones!$F:$F,Sesiones!$C:$C,A87,Sesiones!$G:$G,"USD")-SUMIFS(Pagos!$H:$H,Pagos!$D:$D,A87,Pagos!$I:$I,"USD"))</f>
        <v/>
      </c>
      <c r="T87" s="12" t="str">
        <f aca="false">IF(A87="","",SUMIFS(Pagos!$H:$H,Pagos!$D:$D,A87,Pagos!$I:$I,"ARS"))</f>
        <v/>
      </c>
      <c r="U87" s="13" t="str">
        <f aca="false">IF(A87="","",SUMIFS(Pagos!$H:$H,Pagos!$D:$D,A87,Pagos!$I:$I,"USD"))</f>
        <v/>
      </c>
    </row>
    <row r="88" customFormat="false" ht="15" hidden="false" customHeight="false" outlineLevel="0" collapsed="false">
      <c r="A88" s="6"/>
      <c r="B88" s="6"/>
      <c r="C88" s="6"/>
      <c r="D88" s="7"/>
      <c r="E88" s="7"/>
      <c r="F88" s="6"/>
      <c r="G88" s="7"/>
      <c r="H88" s="6"/>
      <c r="I88" s="6"/>
      <c r="J88" s="6"/>
      <c r="K88" s="9"/>
      <c r="L88" s="6"/>
      <c r="M88" s="6"/>
      <c r="N88" s="10"/>
      <c r="O88" s="6"/>
      <c r="P88" s="6"/>
      <c r="Q88" s="11" t="str">
        <f aca="false">IF(A88="","",TRIM(B88&amp;" "&amp;C88))</f>
        <v/>
      </c>
      <c r="R88" s="12" t="str">
        <f aca="false">IF(A88="","",SUMIFS(Sesiones!$F:$F,Sesiones!$C:$C,A88,Sesiones!$G:$G,"ARS")-SUMIFS(Pagos!$H:$H,Pagos!$D:$D,A88,Pagos!$I:$I,"ARS"))</f>
        <v/>
      </c>
      <c r="S88" s="13" t="str">
        <f aca="false">IF(A88="","",SUMIFS(Sesiones!$F:$F,Sesiones!$C:$C,A88,Sesiones!$G:$G,"USD")-SUMIFS(Pagos!$H:$H,Pagos!$D:$D,A88,Pagos!$I:$I,"USD"))</f>
        <v/>
      </c>
      <c r="T88" s="12" t="str">
        <f aca="false">IF(A88="","",SUMIFS(Pagos!$H:$H,Pagos!$D:$D,A88,Pagos!$I:$I,"ARS"))</f>
        <v/>
      </c>
      <c r="U88" s="13" t="str">
        <f aca="false">IF(A88="","",SUMIFS(Pagos!$H:$H,Pagos!$D:$D,A88,Pagos!$I:$I,"USD"))</f>
        <v/>
      </c>
    </row>
    <row r="89" customFormat="false" ht="15" hidden="false" customHeight="false" outlineLevel="0" collapsed="false">
      <c r="A89" s="6"/>
      <c r="B89" s="6"/>
      <c r="C89" s="6"/>
      <c r="D89" s="7"/>
      <c r="E89" s="7"/>
      <c r="F89" s="6"/>
      <c r="G89" s="7"/>
      <c r="H89" s="6"/>
      <c r="I89" s="6"/>
      <c r="J89" s="6"/>
      <c r="K89" s="9"/>
      <c r="L89" s="6"/>
      <c r="M89" s="6"/>
      <c r="N89" s="10"/>
      <c r="O89" s="6"/>
      <c r="P89" s="6"/>
      <c r="Q89" s="11" t="str">
        <f aca="false">IF(A89="","",TRIM(B89&amp;" "&amp;C89))</f>
        <v/>
      </c>
      <c r="R89" s="12" t="str">
        <f aca="false">IF(A89="","",SUMIFS(Sesiones!$F:$F,Sesiones!$C:$C,A89,Sesiones!$G:$G,"ARS")-SUMIFS(Pagos!$H:$H,Pagos!$D:$D,A89,Pagos!$I:$I,"ARS"))</f>
        <v/>
      </c>
      <c r="S89" s="13" t="str">
        <f aca="false">IF(A89="","",SUMIFS(Sesiones!$F:$F,Sesiones!$C:$C,A89,Sesiones!$G:$G,"USD")-SUMIFS(Pagos!$H:$H,Pagos!$D:$D,A89,Pagos!$I:$I,"USD"))</f>
        <v/>
      </c>
      <c r="T89" s="12" t="str">
        <f aca="false">IF(A89="","",SUMIFS(Pagos!$H:$H,Pagos!$D:$D,A89,Pagos!$I:$I,"ARS"))</f>
        <v/>
      </c>
      <c r="U89" s="13" t="str">
        <f aca="false">IF(A89="","",SUMIFS(Pagos!$H:$H,Pagos!$D:$D,A89,Pagos!$I:$I,"USD"))</f>
        <v/>
      </c>
    </row>
    <row r="90" customFormat="false" ht="15" hidden="false" customHeight="false" outlineLevel="0" collapsed="false">
      <c r="A90" s="6"/>
      <c r="B90" s="6"/>
      <c r="C90" s="6"/>
      <c r="D90" s="7"/>
      <c r="E90" s="7"/>
      <c r="F90" s="6"/>
      <c r="G90" s="7"/>
      <c r="H90" s="6"/>
      <c r="I90" s="6"/>
      <c r="J90" s="6"/>
      <c r="K90" s="9"/>
      <c r="L90" s="6"/>
      <c r="M90" s="6"/>
      <c r="N90" s="10"/>
      <c r="O90" s="6"/>
      <c r="P90" s="6"/>
      <c r="Q90" s="11" t="str">
        <f aca="false">IF(A90="","",TRIM(B90&amp;" "&amp;C90))</f>
        <v/>
      </c>
      <c r="R90" s="12" t="str">
        <f aca="false">IF(A90="","",SUMIFS(Sesiones!$F:$F,Sesiones!$C:$C,A90,Sesiones!$G:$G,"ARS")-SUMIFS(Pagos!$H:$H,Pagos!$D:$D,A90,Pagos!$I:$I,"ARS"))</f>
        <v/>
      </c>
      <c r="S90" s="13" t="str">
        <f aca="false">IF(A90="","",SUMIFS(Sesiones!$F:$F,Sesiones!$C:$C,A90,Sesiones!$G:$G,"USD")-SUMIFS(Pagos!$H:$H,Pagos!$D:$D,A90,Pagos!$I:$I,"USD"))</f>
        <v/>
      </c>
      <c r="T90" s="12" t="str">
        <f aca="false">IF(A90="","",SUMIFS(Pagos!$H:$H,Pagos!$D:$D,A90,Pagos!$I:$I,"ARS"))</f>
        <v/>
      </c>
      <c r="U90" s="13" t="str">
        <f aca="false">IF(A90="","",SUMIFS(Pagos!$H:$H,Pagos!$D:$D,A90,Pagos!$I:$I,"USD"))</f>
        <v/>
      </c>
    </row>
    <row r="91" customFormat="false" ht="15" hidden="false" customHeight="false" outlineLevel="0" collapsed="false">
      <c r="A91" s="6"/>
      <c r="B91" s="6"/>
      <c r="C91" s="6"/>
      <c r="D91" s="7"/>
      <c r="E91" s="7"/>
      <c r="F91" s="6"/>
      <c r="G91" s="7"/>
      <c r="H91" s="6"/>
      <c r="I91" s="6"/>
      <c r="J91" s="6"/>
      <c r="K91" s="9"/>
      <c r="L91" s="6"/>
      <c r="M91" s="6"/>
      <c r="N91" s="10"/>
      <c r="O91" s="6"/>
      <c r="P91" s="6"/>
      <c r="Q91" s="11" t="str">
        <f aca="false">IF(A91="","",TRIM(B91&amp;" "&amp;C91))</f>
        <v/>
      </c>
      <c r="R91" s="12" t="str">
        <f aca="false">IF(A91="","",SUMIFS(Sesiones!$F:$F,Sesiones!$C:$C,A91,Sesiones!$G:$G,"ARS")-SUMIFS(Pagos!$H:$H,Pagos!$D:$D,A91,Pagos!$I:$I,"ARS"))</f>
        <v/>
      </c>
      <c r="S91" s="13" t="str">
        <f aca="false">IF(A91="","",SUMIFS(Sesiones!$F:$F,Sesiones!$C:$C,A91,Sesiones!$G:$G,"USD")-SUMIFS(Pagos!$H:$H,Pagos!$D:$D,A91,Pagos!$I:$I,"USD"))</f>
        <v/>
      </c>
      <c r="T91" s="12" t="str">
        <f aca="false">IF(A91="","",SUMIFS(Pagos!$H:$H,Pagos!$D:$D,A91,Pagos!$I:$I,"ARS"))</f>
        <v/>
      </c>
      <c r="U91" s="13" t="str">
        <f aca="false">IF(A91="","",SUMIFS(Pagos!$H:$H,Pagos!$D:$D,A91,Pagos!$I:$I,"USD"))</f>
        <v/>
      </c>
    </row>
    <row r="92" customFormat="false" ht="15" hidden="false" customHeight="false" outlineLevel="0" collapsed="false">
      <c r="A92" s="6"/>
      <c r="B92" s="6"/>
      <c r="C92" s="6"/>
      <c r="D92" s="7"/>
      <c r="E92" s="7"/>
      <c r="F92" s="6"/>
      <c r="G92" s="7"/>
      <c r="H92" s="6"/>
      <c r="I92" s="6"/>
      <c r="J92" s="6"/>
      <c r="K92" s="9"/>
      <c r="L92" s="6"/>
      <c r="M92" s="6"/>
      <c r="N92" s="10"/>
      <c r="O92" s="6"/>
      <c r="P92" s="6"/>
      <c r="Q92" s="11" t="str">
        <f aca="false">IF(A92="","",TRIM(B92&amp;" "&amp;C92))</f>
        <v/>
      </c>
      <c r="R92" s="12" t="str">
        <f aca="false">IF(A92="","",SUMIFS(Sesiones!$F:$F,Sesiones!$C:$C,A92,Sesiones!$G:$G,"ARS")-SUMIFS(Pagos!$H:$H,Pagos!$D:$D,A92,Pagos!$I:$I,"ARS"))</f>
        <v/>
      </c>
      <c r="S92" s="13" t="str">
        <f aca="false">IF(A92="","",SUMIFS(Sesiones!$F:$F,Sesiones!$C:$C,A92,Sesiones!$G:$G,"USD")-SUMIFS(Pagos!$H:$H,Pagos!$D:$D,A92,Pagos!$I:$I,"USD"))</f>
        <v/>
      </c>
      <c r="T92" s="12" t="str">
        <f aca="false">IF(A92="","",SUMIFS(Pagos!$H:$H,Pagos!$D:$D,A92,Pagos!$I:$I,"ARS"))</f>
        <v/>
      </c>
      <c r="U92" s="13" t="str">
        <f aca="false">IF(A92="","",SUMIFS(Pagos!$H:$H,Pagos!$D:$D,A92,Pagos!$I:$I,"USD"))</f>
        <v/>
      </c>
    </row>
    <row r="93" customFormat="false" ht="15" hidden="false" customHeight="false" outlineLevel="0" collapsed="false">
      <c r="A93" s="6"/>
      <c r="B93" s="6"/>
      <c r="C93" s="6"/>
      <c r="D93" s="7"/>
      <c r="E93" s="7"/>
      <c r="F93" s="6"/>
      <c r="G93" s="7"/>
      <c r="H93" s="6"/>
      <c r="I93" s="6"/>
      <c r="J93" s="6"/>
      <c r="K93" s="9"/>
      <c r="L93" s="6"/>
      <c r="M93" s="6"/>
      <c r="N93" s="10"/>
      <c r="O93" s="6"/>
      <c r="P93" s="6"/>
      <c r="Q93" s="11" t="str">
        <f aca="false">IF(A93="","",TRIM(B93&amp;" "&amp;C93))</f>
        <v/>
      </c>
      <c r="R93" s="12" t="str">
        <f aca="false">IF(A93="","",SUMIFS(Sesiones!$F:$F,Sesiones!$C:$C,A93,Sesiones!$G:$G,"ARS")-SUMIFS(Pagos!$H:$H,Pagos!$D:$D,A93,Pagos!$I:$I,"ARS"))</f>
        <v/>
      </c>
      <c r="S93" s="13" t="str">
        <f aca="false">IF(A93="","",SUMIFS(Sesiones!$F:$F,Sesiones!$C:$C,A93,Sesiones!$G:$G,"USD")-SUMIFS(Pagos!$H:$H,Pagos!$D:$D,A93,Pagos!$I:$I,"USD"))</f>
        <v/>
      </c>
      <c r="T93" s="12" t="str">
        <f aca="false">IF(A93="","",SUMIFS(Pagos!$H:$H,Pagos!$D:$D,A93,Pagos!$I:$I,"ARS"))</f>
        <v/>
      </c>
      <c r="U93" s="13" t="str">
        <f aca="false">IF(A93="","",SUMIFS(Pagos!$H:$H,Pagos!$D:$D,A93,Pagos!$I:$I,"USD"))</f>
        <v/>
      </c>
    </row>
    <row r="94" customFormat="false" ht="15" hidden="false" customHeight="false" outlineLevel="0" collapsed="false">
      <c r="A94" s="6"/>
      <c r="B94" s="6"/>
      <c r="C94" s="6"/>
      <c r="D94" s="7"/>
      <c r="E94" s="7"/>
      <c r="F94" s="6"/>
      <c r="G94" s="7"/>
      <c r="H94" s="6"/>
      <c r="I94" s="6"/>
      <c r="J94" s="6"/>
      <c r="K94" s="9"/>
      <c r="L94" s="6"/>
      <c r="M94" s="6"/>
      <c r="N94" s="10"/>
      <c r="O94" s="6"/>
      <c r="P94" s="6"/>
      <c r="Q94" s="11" t="str">
        <f aca="false">IF(A94="","",TRIM(B94&amp;" "&amp;C94))</f>
        <v/>
      </c>
      <c r="R94" s="12" t="str">
        <f aca="false">IF(A94="","",SUMIFS(Sesiones!$F:$F,Sesiones!$C:$C,A94,Sesiones!$G:$G,"ARS")-SUMIFS(Pagos!$H:$H,Pagos!$D:$D,A94,Pagos!$I:$I,"ARS"))</f>
        <v/>
      </c>
      <c r="S94" s="13" t="str">
        <f aca="false">IF(A94="","",SUMIFS(Sesiones!$F:$F,Sesiones!$C:$C,A94,Sesiones!$G:$G,"USD")-SUMIFS(Pagos!$H:$H,Pagos!$D:$D,A94,Pagos!$I:$I,"USD"))</f>
        <v/>
      </c>
      <c r="T94" s="12" t="str">
        <f aca="false">IF(A94="","",SUMIFS(Pagos!$H:$H,Pagos!$D:$D,A94,Pagos!$I:$I,"ARS"))</f>
        <v/>
      </c>
      <c r="U94" s="13" t="str">
        <f aca="false">IF(A94="","",SUMIFS(Pagos!$H:$H,Pagos!$D:$D,A94,Pagos!$I:$I,"USD"))</f>
        <v/>
      </c>
    </row>
    <row r="95" customFormat="false" ht="15" hidden="false" customHeight="false" outlineLevel="0" collapsed="false">
      <c r="A95" s="6"/>
      <c r="B95" s="6"/>
      <c r="C95" s="6"/>
      <c r="D95" s="7"/>
      <c r="E95" s="7"/>
      <c r="F95" s="6"/>
      <c r="G95" s="7"/>
      <c r="H95" s="6"/>
      <c r="I95" s="6"/>
      <c r="J95" s="6"/>
      <c r="K95" s="9"/>
      <c r="L95" s="6"/>
      <c r="M95" s="6"/>
      <c r="N95" s="10"/>
      <c r="O95" s="6"/>
      <c r="P95" s="6"/>
      <c r="Q95" s="11" t="str">
        <f aca="false">IF(A95="","",TRIM(B95&amp;" "&amp;C95))</f>
        <v/>
      </c>
      <c r="R95" s="12" t="str">
        <f aca="false">IF(A95="","",SUMIFS(Sesiones!$F:$F,Sesiones!$C:$C,A95,Sesiones!$G:$G,"ARS")-SUMIFS(Pagos!$H:$H,Pagos!$D:$D,A95,Pagos!$I:$I,"ARS"))</f>
        <v/>
      </c>
      <c r="S95" s="13" t="str">
        <f aca="false">IF(A95="","",SUMIFS(Sesiones!$F:$F,Sesiones!$C:$C,A95,Sesiones!$G:$G,"USD")-SUMIFS(Pagos!$H:$H,Pagos!$D:$D,A95,Pagos!$I:$I,"USD"))</f>
        <v/>
      </c>
      <c r="T95" s="12" t="str">
        <f aca="false">IF(A95="","",SUMIFS(Pagos!$H:$H,Pagos!$D:$D,A95,Pagos!$I:$I,"ARS"))</f>
        <v/>
      </c>
      <c r="U95" s="13" t="str">
        <f aca="false">IF(A95="","",SUMIFS(Pagos!$H:$H,Pagos!$D:$D,A95,Pagos!$I:$I,"USD"))</f>
        <v/>
      </c>
    </row>
    <row r="96" customFormat="false" ht="15" hidden="false" customHeight="false" outlineLevel="0" collapsed="false">
      <c r="A96" s="6"/>
      <c r="B96" s="6"/>
      <c r="C96" s="6"/>
      <c r="D96" s="7"/>
      <c r="E96" s="7"/>
      <c r="F96" s="6"/>
      <c r="G96" s="7"/>
      <c r="H96" s="6"/>
      <c r="I96" s="6"/>
      <c r="J96" s="6"/>
      <c r="K96" s="9"/>
      <c r="L96" s="6"/>
      <c r="M96" s="6"/>
      <c r="N96" s="10"/>
      <c r="O96" s="6"/>
      <c r="P96" s="6"/>
      <c r="Q96" s="11" t="str">
        <f aca="false">IF(A96="","",TRIM(B96&amp;" "&amp;C96))</f>
        <v/>
      </c>
      <c r="R96" s="12" t="str">
        <f aca="false">IF(A96="","",SUMIFS(Sesiones!$F:$F,Sesiones!$C:$C,A96,Sesiones!$G:$G,"ARS")-SUMIFS(Pagos!$H:$H,Pagos!$D:$D,A96,Pagos!$I:$I,"ARS"))</f>
        <v/>
      </c>
      <c r="S96" s="13" t="str">
        <f aca="false">IF(A96="","",SUMIFS(Sesiones!$F:$F,Sesiones!$C:$C,A96,Sesiones!$G:$G,"USD")-SUMIFS(Pagos!$H:$H,Pagos!$D:$D,A96,Pagos!$I:$I,"USD"))</f>
        <v/>
      </c>
      <c r="T96" s="12" t="str">
        <f aca="false">IF(A96="","",SUMIFS(Pagos!$H:$H,Pagos!$D:$D,A96,Pagos!$I:$I,"ARS"))</f>
        <v/>
      </c>
      <c r="U96" s="13" t="str">
        <f aca="false">IF(A96="","",SUMIFS(Pagos!$H:$H,Pagos!$D:$D,A96,Pagos!$I:$I,"USD"))</f>
        <v/>
      </c>
    </row>
    <row r="97" customFormat="false" ht="15" hidden="false" customHeight="false" outlineLevel="0" collapsed="false">
      <c r="A97" s="6"/>
      <c r="B97" s="6"/>
      <c r="C97" s="6"/>
      <c r="D97" s="7"/>
      <c r="E97" s="7"/>
      <c r="F97" s="6"/>
      <c r="G97" s="7"/>
      <c r="H97" s="6"/>
      <c r="I97" s="6"/>
      <c r="J97" s="6"/>
      <c r="K97" s="9"/>
      <c r="L97" s="6"/>
      <c r="M97" s="6"/>
      <c r="N97" s="10"/>
      <c r="O97" s="6"/>
      <c r="P97" s="6"/>
      <c r="Q97" s="11" t="str">
        <f aca="false">IF(A97="","",TRIM(B97&amp;" "&amp;C97))</f>
        <v/>
      </c>
      <c r="R97" s="12" t="str">
        <f aca="false">IF(A97="","",SUMIFS(Sesiones!$F:$F,Sesiones!$C:$C,A97,Sesiones!$G:$G,"ARS")-SUMIFS(Pagos!$H:$H,Pagos!$D:$D,A97,Pagos!$I:$I,"ARS"))</f>
        <v/>
      </c>
      <c r="S97" s="13" t="str">
        <f aca="false">IF(A97="","",SUMIFS(Sesiones!$F:$F,Sesiones!$C:$C,A97,Sesiones!$G:$G,"USD")-SUMIFS(Pagos!$H:$H,Pagos!$D:$D,A97,Pagos!$I:$I,"USD"))</f>
        <v/>
      </c>
      <c r="T97" s="12" t="str">
        <f aca="false">IF(A97="","",SUMIFS(Pagos!$H:$H,Pagos!$D:$D,A97,Pagos!$I:$I,"ARS"))</f>
        <v/>
      </c>
      <c r="U97" s="13" t="str">
        <f aca="false">IF(A97="","",SUMIFS(Pagos!$H:$H,Pagos!$D:$D,A97,Pagos!$I:$I,"USD"))</f>
        <v/>
      </c>
    </row>
    <row r="98" customFormat="false" ht="15" hidden="false" customHeight="false" outlineLevel="0" collapsed="false">
      <c r="A98" s="6"/>
      <c r="B98" s="6"/>
      <c r="C98" s="6"/>
      <c r="D98" s="7"/>
      <c r="E98" s="7"/>
      <c r="F98" s="6"/>
      <c r="G98" s="7"/>
      <c r="H98" s="6"/>
      <c r="I98" s="6"/>
      <c r="J98" s="6"/>
      <c r="K98" s="9"/>
      <c r="L98" s="6"/>
      <c r="M98" s="6"/>
      <c r="N98" s="10"/>
      <c r="O98" s="6"/>
      <c r="P98" s="6"/>
      <c r="Q98" s="11" t="str">
        <f aca="false">IF(A98="","",TRIM(B98&amp;" "&amp;C98))</f>
        <v/>
      </c>
      <c r="R98" s="12" t="str">
        <f aca="false">IF(A98="","",SUMIFS(Sesiones!$F:$F,Sesiones!$C:$C,A98,Sesiones!$G:$G,"ARS")-SUMIFS(Pagos!$H:$H,Pagos!$D:$D,A98,Pagos!$I:$I,"ARS"))</f>
        <v/>
      </c>
      <c r="S98" s="13" t="str">
        <f aca="false">IF(A98="","",SUMIFS(Sesiones!$F:$F,Sesiones!$C:$C,A98,Sesiones!$G:$G,"USD")-SUMIFS(Pagos!$H:$H,Pagos!$D:$D,A98,Pagos!$I:$I,"USD"))</f>
        <v/>
      </c>
      <c r="T98" s="12" t="str">
        <f aca="false">IF(A98="","",SUMIFS(Pagos!$H:$H,Pagos!$D:$D,A98,Pagos!$I:$I,"ARS"))</f>
        <v/>
      </c>
      <c r="U98" s="13" t="str">
        <f aca="false">IF(A98="","",SUMIFS(Pagos!$H:$H,Pagos!$D:$D,A98,Pagos!$I:$I,"USD"))</f>
        <v/>
      </c>
    </row>
    <row r="99" customFormat="false" ht="15" hidden="false" customHeight="false" outlineLevel="0" collapsed="false">
      <c r="A99" s="6"/>
      <c r="B99" s="6"/>
      <c r="C99" s="6"/>
      <c r="D99" s="7"/>
      <c r="E99" s="7"/>
      <c r="F99" s="6"/>
      <c r="G99" s="7"/>
      <c r="H99" s="6"/>
      <c r="I99" s="6"/>
      <c r="J99" s="6"/>
      <c r="K99" s="9"/>
      <c r="L99" s="6"/>
      <c r="M99" s="6"/>
      <c r="N99" s="10"/>
      <c r="O99" s="6"/>
      <c r="P99" s="6"/>
      <c r="Q99" s="11" t="str">
        <f aca="false">IF(A99="","",TRIM(B99&amp;" "&amp;C99))</f>
        <v/>
      </c>
      <c r="R99" s="12" t="str">
        <f aca="false">IF(A99="","",SUMIFS(Sesiones!$F:$F,Sesiones!$C:$C,A99,Sesiones!$G:$G,"ARS")-SUMIFS(Pagos!$H:$H,Pagos!$D:$D,A99,Pagos!$I:$I,"ARS"))</f>
        <v/>
      </c>
      <c r="S99" s="13" t="str">
        <f aca="false">IF(A99="","",SUMIFS(Sesiones!$F:$F,Sesiones!$C:$C,A99,Sesiones!$G:$G,"USD")-SUMIFS(Pagos!$H:$H,Pagos!$D:$D,A99,Pagos!$I:$I,"USD"))</f>
        <v/>
      </c>
      <c r="T99" s="12" t="str">
        <f aca="false">IF(A99="","",SUMIFS(Pagos!$H:$H,Pagos!$D:$D,A99,Pagos!$I:$I,"ARS"))</f>
        <v/>
      </c>
      <c r="U99" s="13" t="str">
        <f aca="false">IF(A99="","",SUMIFS(Pagos!$H:$H,Pagos!$D:$D,A99,Pagos!$I:$I,"USD"))</f>
        <v/>
      </c>
    </row>
    <row r="100" customFormat="false" ht="15" hidden="false" customHeight="false" outlineLevel="0" collapsed="false">
      <c r="A100" s="6"/>
      <c r="B100" s="6"/>
      <c r="C100" s="6"/>
      <c r="D100" s="7"/>
      <c r="E100" s="7"/>
      <c r="F100" s="6"/>
      <c r="G100" s="7"/>
      <c r="H100" s="6"/>
      <c r="I100" s="6"/>
      <c r="J100" s="6"/>
      <c r="K100" s="9"/>
      <c r="L100" s="6"/>
      <c r="M100" s="6"/>
      <c r="N100" s="10"/>
      <c r="O100" s="6"/>
      <c r="P100" s="6"/>
      <c r="Q100" s="11" t="str">
        <f aca="false">IF(A100="","",TRIM(B100&amp;" "&amp;C100))</f>
        <v/>
      </c>
      <c r="R100" s="12" t="str">
        <f aca="false">IF(A100="","",SUMIFS(Sesiones!$F:$F,Sesiones!$C:$C,A100,Sesiones!$G:$G,"ARS")-SUMIFS(Pagos!$H:$H,Pagos!$D:$D,A100,Pagos!$I:$I,"ARS"))</f>
        <v/>
      </c>
      <c r="S100" s="13" t="str">
        <f aca="false">IF(A100="","",SUMIFS(Sesiones!$F:$F,Sesiones!$C:$C,A100,Sesiones!$G:$G,"USD")-SUMIFS(Pagos!$H:$H,Pagos!$D:$D,A100,Pagos!$I:$I,"USD"))</f>
        <v/>
      </c>
      <c r="T100" s="12" t="str">
        <f aca="false">IF(A100="","",SUMIFS(Pagos!$H:$H,Pagos!$D:$D,A100,Pagos!$I:$I,"ARS"))</f>
        <v/>
      </c>
      <c r="U100" s="13" t="str">
        <f aca="false">IF(A100="","",SUMIFS(Pagos!$H:$H,Pagos!$D:$D,A100,Pagos!$I:$I,"USD"))</f>
        <v/>
      </c>
    </row>
    <row r="101" customFormat="false" ht="15" hidden="false" customHeight="false" outlineLevel="0" collapsed="false">
      <c r="A101" s="6"/>
      <c r="B101" s="6"/>
      <c r="C101" s="6"/>
      <c r="D101" s="7"/>
      <c r="E101" s="7"/>
      <c r="F101" s="6"/>
      <c r="G101" s="7"/>
      <c r="H101" s="6"/>
      <c r="I101" s="6"/>
      <c r="J101" s="6"/>
      <c r="K101" s="9"/>
      <c r="L101" s="6"/>
      <c r="M101" s="6"/>
      <c r="N101" s="10"/>
      <c r="O101" s="6"/>
      <c r="P101" s="6"/>
      <c r="Q101" s="11" t="str">
        <f aca="false">IF(A101="","",TRIM(B101&amp;" "&amp;C101))</f>
        <v/>
      </c>
      <c r="R101" s="12" t="str">
        <f aca="false">IF(A101="","",SUMIFS(Sesiones!$F:$F,Sesiones!$C:$C,A101,Sesiones!$G:$G,"ARS")-SUMIFS(Pagos!$H:$H,Pagos!$D:$D,A101,Pagos!$I:$I,"ARS"))</f>
        <v/>
      </c>
      <c r="S101" s="13" t="str">
        <f aca="false">IF(A101="","",SUMIFS(Sesiones!$F:$F,Sesiones!$C:$C,A101,Sesiones!$G:$G,"USD")-SUMIFS(Pagos!$H:$H,Pagos!$D:$D,A101,Pagos!$I:$I,"USD"))</f>
        <v/>
      </c>
      <c r="T101" s="12" t="str">
        <f aca="false">IF(A101="","",SUMIFS(Pagos!$H:$H,Pagos!$D:$D,A101,Pagos!$I:$I,"ARS"))</f>
        <v/>
      </c>
      <c r="U101" s="13" t="str">
        <f aca="false">IF(A101="","",SUMIFS(Pagos!$H:$H,Pagos!$D:$D,A101,Pagos!$I:$I,"USD"))</f>
        <v/>
      </c>
    </row>
    <row r="102" customFormat="false" ht="15" hidden="false" customHeight="false" outlineLevel="0" collapsed="false">
      <c r="A102" s="6"/>
      <c r="B102" s="6"/>
      <c r="C102" s="6"/>
      <c r="D102" s="7"/>
      <c r="E102" s="7"/>
      <c r="F102" s="6"/>
      <c r="G102" s="7"/>
      <c r="H102" s="6"/>
      <c r="I102" s="6"/>
      <c r="J102" s="6"/>
      <c r="K102" s="9"/>
      <c r="L102" s="6"/>
      <c r="M102" s="6"/>
      <c r="N102" s="10"/>
      <c r="O102" s="6"/>
      <c r="P102" s="6"/>
      <c r="Q102" s="11" t="str">
        <f aca="false">IF(A102="","",TRIM(B102&amp;" "&amp;C102))</f>
        <v/>
      </c>
      <c r="R102" s="12" t="str">
        <f aca="false">IF(A102="","",SUMIFS(Sesiones!$F:$F,Sesiones!$C:$C,A102,Sesiones!$G:$G,"ARS")-SUMIFS(Pagos!$H:$H,Pagos!$D:$D,A102,Pagos!$I:$I,"ARS"))</f>
        <v/>
      </c>
      <c r="S102" s="13" t="str">
        <f aca="false">IF(A102="","",SUMIFS(Sesiones!$F:$F,Sesiones!$C:$C,A102,Sesiones!$G:$G,"USD")-SUMIFS(Pagos!$H:$H,Pagos!$D:$D,A102,Pagos!$I:$I,"USD"))</f>
        <v/>
      </c>
      <c r="T102" s="12" t="str">
        <f aca="false">IF(A102="","",SUMIFS(Pagos!$H:$H,Pagos!$D:$D,A102,Pagos!$I:$I,"ARS"))</f>
        <v/>
      </c>
      <c r="U102" s="13" t="str">
        <f aca="false">IF(A102="","",SUMIFS(Pagos!$H:$H,Pagos!$D:$D,A102,Pagos!$I:$I,"USD"))</f>
        <v/>
      </c>
    </row>
    <row r="103" customFormat="false" ht="15" hidden="false" customHeight="false" outlineLevel="0" collapsed="false">
      <c r="A103" s="6"/>
      <c r="B103" s="6"/>
      <c r="C103" s="6"/>
      <c r="D103" s="7"/>
      <c r="E103" s="7"/>
      <c r="F103" s="6"/>
      <c r="G103" s="7"/>
      <c r="H103" s="6"/>
      <c r="I103" s="6"/>
      <c r="J103" s="6"/>
      <c r="K103" s="9"/>
      <c r="L103" s="6"/>
      <c r="M103" s="6"/>
      <c r="N103" s="10"/>
      <c r="O103" s="6"/>
      <c r="P103" s="6"/>
      <c r="Q103" s="11" t="str">
        <f aca="false">IF(A103="","",TRIM(B103&amp;" "&amp;C103))</f>
        <v/>
      </c>
      <c r="R103" s="12" t="str">
        <f aca="false">IF(A103="","",SUMIFS(Sesiones!$F:$F,Sesiones!$C:$C,A103,Sesiones!$G:$G,"ARS")-SUMIFS(Pagos!$H:$H,Pagos!$D:$D,A103,Pagos!$I:$I,"ARS"))</f>
        <v/>
      </c>
      <c r="S103" s="13" t="str">
        <f aca="false">IF(A103="","",SUMIFS(Sesiones!$F:$F,Sesiones!$C:$C,A103,Sesiones!$G:$G,"USD")-SUMIFS(Pagos!$H:$H,Pagos!$D:$D,A103,Pagos!$I:$I,"USD"))</f>
        <v/>
      </c>
      <c r="T103" s="12" t="str">
        <f aca="false">IF(A103="","",SUMIFS(Pagos!$H:$H,Pagos!$D:$D,A103,Pagos!$I:$I,"ARS"))</f>
        <v/>
      </c>
      <c r="U103" s="13" t="str">
        <f aca="false">IF(A103="","",SUMIFS(Pagos!$H:$H,Pagos!$D:$D,A103,Pagos!$I:$I,"USD"))</f>
        <v/>
      </c>
    </row>
    <row r="104" customFormat="false" ht="15" hidden="false" customHeight="false" outlineLevel="0" collapsed="false">
      <c r="A104" s="6"/>
      <c r="B104" s="6"/>
      <c r="C104" s="6"/>
      <c r="D104" s="7"/>
      <c r="E104" s="7"/>
      <c r="F104" s="6"/>
      <c r="G104" s="7"/>
      <c r="H104" s="6"/>
      <c r="I104" s="6"/>
      <c r="J104" s="6"/>
      <c r="K104" s="9"/>
      <c r="L104" s="6"/>
      <c r="M104" s="6"/>
      <c r="N104" s="10"/>
      <c r="O104" s="6"/>
      <c r="P104" s="6"/>
      <c r="Q104" s="11" t="str">
        <f aca="false">IF(A104="","",TRIM(B104&amp;" "&amp;C104))</f>
        <v/>
      </c>
      <c r="R104" s="12" t="str">
        <f aca="false">IF(A104="","",SUMIFS(Sesiones!$F:$F,Sesiones!$C:$C,A104,Sesiones!$G:$G,"ARS")-SUMIFS(Pagos!$H:$H,Pagos!$D:$D,A104,Pagos!$I:$I,"ARS"))</f>
        <v/>
      </c>
      <c r="S104" s="13" t="str">
        <f aca="false">IF(A104="","",SUMIFS(Sesiones!$F:$F,Sesiones!$C:$C,A104,Sesiones!$G:$G,"USD")-SUMIFS(Pagos!$H:$H,Pagos!$D:$D,A104,Pagos!$I:$I,"USD"))</f>
        <v/>
      </c>
      <c r="T104" s="12" t="str">
        <f aca="false">IF(A104="","",SUMIFS(Pagos!$H:$H,Pagos!$D:$D,A104,Pagos!$I:$I,"ARS"))</f>
        <v/>
      </c>
      <c r="U104" s="13" t="str">
        <f aca="false">IF(A104="","",SUMIFS(Pagos!$H:$H,Pagos!$D:$D,A104,Pagos!$I:$I,"USD"))</f>
        <v/>
      </c>
    </row>
    <row r="105" customFormat="false" ht="15" hidden="false" customHeight="false" outlineLevel="0" collapsed="false">
      <c r="A105" s="6"/>
      <c r="B105" s="6"/>
      <c r="C105" s="6"/>
      <c r="D105" s="7"/>
      <c r="E105" s="7"/>
      <c r="F105" s="6"/>
      <c r="G105" s="7"/>
      <c r="H105" s="6"/>
      <c r="I105" s="6"/>
      <c r="J105" s="6"/>
      <c r="K105" s="9"/>
      <c r="L105" s="6"/>
      <c r="M105" s="6"/>
      <c r="N105" s="10"/>
      <c r="O105" s="6"/>
      <c r="P105" s="6"/>
      <c r="Q105" s="11" t="str">
        <f aca="false">IF(A105="","",TRIM(B105&amp;" "&amp;C105))</f>
        <v/>
      </c>
      <c r="R105" s="12" t="str">
        <f aca="false">IF(A105="","",SUMIFS(Sesiones!$F:$F,Sesiones!$C:$C,A105,Sesiones!$G:$G,"ARS")-SUMIFS(Pagos!$H:$H,Pagos!$D:$D,A105,Pagos!$I:$I,"ARS"))</f>
        <v/>
      </c>
      <c r="S105" s="13" t="str">
        <f aca="false">IF(A105="","",SUMIFS(Sesiones!$F:$F,Sesiones!$C:$C,A105,Sesiones!$G:$G,"USD")-SUMIFS(Pagos!$H:$H,Pagos!$D:$D,A105,Pagos!$I:$I,"USD"))</f>
        <v/>
      </c>
      <c r="T105" s="12" t="str">
        <f aca="false">IF(A105="","",SUMIFS(Pagos!$H:$H,Pagos!$D:$D,A105,Pagos!$I:$I,"ARS"))</f>
        <v/>
      </c>
      <c r="U105" s="13" t="str">
        <f aca="false">IF(A105="","",SUMIFS(Pagos!$H:$H,Pagos!$D:$D,A105,Pagos!$I:$I,"USD"))</f>
        <v/>
      </c>
    </row>
    <row r="106" customFormat="false" ht="15" hidden="false" customHeight="false" outlineLevel="0" collapsed="false">
      <c r="A106" s="6"/>
      <c r="B106" s="6"/>
      <c r="C106" s="6"/>
      <c r="D106" s="7"/>
      <c r="E106" s="7"/>
      <c r="F106" s="6"/>
      <c r="G106" s="7"/>
      <c r="H106" s="6"/>
      <c r="I106" s="6"/>
      <c r="J106" s="6"/>
      <c r="K106" s="9"/>
      <c r="L106" s="6"/>
      <c r="M106" s="6"/>
      <c r="N106" s="10"/>
      <c r="O106" s="6"/>
      <c r="P106" s="6"/>
      <c r="Q106" s="11" t="str">
        <f aca="false">IF(A106="","",TRIM(B106&amp;" "&amp;C106))</f>
        <v/>
      </c>
      <c r="R106" s="12" t="str">
        <f aca="false">IF(A106="","",SUMIFS(Sesiones!$F:$F,Sesiones!$C:$C,A106,Sesiones!$G:$G,"ARS")-SUMIFS(Pagos!$H:$H,Pagos!$D:$D,A106,Pagos!$I:$I,"ARS"))</f>
        <v/>
      </c>
      <c r="S106" s="13" t="str">
        <f aca="false">IF(A106="","",SUMIFS(Sesiones!$F:$F,Sesiones!$C:$C,A106,Sesiones!$G:$G,"USD")-SUMIFS(Pagos!$H:$H,Pagos!$D:$D,A106,Pagos!$I:$I,"USD"))</f>
        <v/>
      </c>
      <c r="T106" s="12" t="str">
        <f aca="false">IF(A106="","",SUMIFS(Pagos!$H:$H,Pagos!$D:$D,A106,Pagos!$I:$I,"ARS"))</f>
        <v/>
      </c>
      <c r="U106" s="13" t="str">
        <f aca="false">IF(A106="","",SUMIFS(Pagos!$H:$H,Pagos!$D:$D,A106,Pagos!$I:$I,"USD"))</f>
        <v/>
      </c>
    </row>
    <row r="107" customFormat="false" ht="15" hidden="false" customHeight="false" outlineLevel="0" collapsed="false">
      <c r="A107" s="6"/>
      <c r="B107" s="6"/>
      <c r="C107" s="6"/>
      <c r="D107" s="7"/>
      <c r="E107" s="7"/>
      <c r="F107" s="6"/>
      <c r="G107" s="7"/>
      <c r="H107" s="6"/>
      <c r="I107" s="6"/>
      <c r="J107" s="6"/>
      <c r="K107" s="9"/>
      <c r="L107" s="6"/>
      <c r="M107" s="6"/>
      <c r="N107" s="10"/>
      <c r="O107" s="6"/>
      <c r="P107" s="6"/>
      <c r="Q107" s="11" t="str">
        <f aca="false">IF(A107="","",TRIM(B107&amp;" "&amp;C107))</f>
        <v/>
      </c>
      <c r="R107" s="12" t="str">
        <f aca="false">IF(A107="","",SUMIFS(Sesiones!$F:$F,Sesiones!$C:$C,A107,Sesiones!$G:$G,"ARS")-SUMIFS(Pagos!$H:$H,Pagos!$D:$D,A107,Pagos!$I:$I,"ARS"))</f>
        <v/>
      </c>
      <c r="S107" s="13" t="str">
        <f aca="false">IF(A107="","",SUMIFS(Sesiones!$F:$F,Sesiones!$C:$C,A107,Sesiones!$G:$G,"USD")-SUMIFS(Pagos!$H:$H,Pagos!$D:$D,A107,Pagos!$I:$I,"USD"))</f>
        <v/>
      </c>
      <c r="T107" s="12" t="str">
        <f aca="false">IF(A107="","",SUMIFS(Pagos!$H:$H,Pagos!$D:$D,A107,Pagos!$I:$I,"ARS"))</f>
        <v/>
      </c>
      <c r="U107" s="13" t="str">
        <f aca="false">IF(A107="","",SUMIFS(Pagos!$H:$H,Pagos!$D:$D,A107,Pagos!$I:$I,"USD"))</f>
        <v/>
      </c>
    </row>
    <row r="108" customFormat="false" ht="15" hidden="false" customHeight="false" outlineLevel="0" collapsed="false">
      <c r="A108" s="6"/>
      <c r="B108" s="6"/>
      <c r="C108" s="6"/>
      <c r="D108" s="7"/>
      <c r="E108" s="7"/>
      <c r="F108" s="6"/>
      <c r="G108" s="7"/>
      <c r="H108" s="6"/>
      <c r="I108" s="6"/>
      <c r="J108" s="6"/>
      <c r="K108" s="9"/>
      <c r="L108" s="6"/>
      <c r="M108" s="6"/>
      <c r="N108" s="10"/>
      <c r="O108" s="6"/>
      <c r="P108" s="6"/>
      <c r="Q108" s="11" t="str">
        <f aca="false">IF(A108="","",TRIM(B108&amp;" "&amp;C108))</f>
        <v/>
      </c>
      <c r="R108" s="12" t="str">
        <f aca="false">IF(A108="","",SUMIFS(Sesiones!$F:$F,Sesiones!$C:$C,A108,Sesiones!$G:$G,"ARS")-SUMIFS(Pagos!$H:$H,Pagos!$D:$D,A108,Pagos!$I:$I,"ARS"))</f>
        <v/>
      </c>
      <c r="S108" s="13" t="str">
        <f aca="false">IF(A108="","",SUMIFS(Sesiones!$F:$F,Sesiones!$C:$C,A108,Sesiones!$G:$G,"USD")-SUMIFS(Pagos!$H:$H,Pagos!$D:$D,A108,Pagos!$I:$I,"USD"))</f>
        <v/>
      </c>
      <c r="T108" s="12" t="str">
        <f aca="false">IF(A108="","",SUMIFS(Pagos!$H:$H,Pagos!$D:$D,A108,Pagos!$I:$I,"ARS"))</f>
        <v/>
      </c>
      <c r="U108" s="13" t="str">
        <f aca="false">IF(A108="","",SUMIFS(Pagos!$H:$H,Pagos!$D:$D,A108,Pagos!$I:$I,"USD"))</f>
        <v/>
      </c>
    </row>
    <row r="109" customFormat="false" ht="15" hidden="false" customHeight="false" outlineLevel="0" collapsed="false">
      <c r="A109" s="6"/>
      <c r="B109" s="6"/>
      <c r="C109" s="6"/>
      <c r="D109" s="7"/>
      <c r="E109" s="7"/>
      <c r="F109" s="6"/>
      <c r="G109" s="7"/>
      <c r="H109" s="6"/>
      <c r="I109" s="6"/>
      <c r="J109" s="6"/>
      <c r="K109" s="9"/>
      <c r="L109" s="6"/>
      <c r="M109" s="6"/>
      <c r="N109" s="10"/>
      <c r="O109" s="6"/>
      <c r="P109" s="6"/>
      <c r="Q109" s="11" t="str">
        <f aca="false">IF(A109="","",TRIM(B109&amp;" "&amp;C109))</f>
        <v/>
      </c>
      <c r="R109" s="12" t="str">
        <f aca="false">IF(A109="","",SUMIFS(Sesiones!$F:$F,Sesiones!$C:$C,A109,Sesiones!$G:$G,"ARS")-SUMIFS(Pagos!$H:$H,Pagos!$D:$D,A109,Pagos!$I:$I,"ARS"))</f>
        <v/>
      </c>
      <c r="S109" s="13" t="str">
        <f aca="false">IF(A109="","",SUMIFS(Sesiones!$F:$F,Sesiones!$C:$C,A109,Sesiones!$G:$G,"USD")-SUMIFS(Pagos!$H:$H,Pagos!$D:$D,A109,Pagos!$I:$I,"USD"))</f>
        <v/>
      </c>
      <c r="T109" s="12" t="str">
        <f aca="false">IF(A109="","",SUMIFS(Pagos!$H:$H,Pagos!$D:$D,A109,Pagos!$I:$I,"ARS"))</f>
        <v/>
      </c>
      <c r="U109" s="13" t="str">
        <f aca="false">IF(A109="","",SUMIFS(Pagos!$H:$H,Pagos!$D:$D,A109,Pagos!$I:$I,"USD"))</f>
        <v/>
      </c>
    </row>
    <row r="110" customFormat="false" ht="15" hidden="false" customHeight="false" outlineLevel="0" collapsed="false">
      <c r="A110" s="6"/>
      <c r="B110" s="6"/>
      <c r="C110" s="6"/>
      <c r="D110" s="7"/>
      <c r="E110" s="7"/>
      <c r="F110" s="6"/>
      <c r="G110" s="7"/>
      <c r="H110" s="6"/>
      <c r="I110" s="6"/>
      <c r="J110" s="6"/>
      <c r="K110" s="9"/>
      <c r="L110" s="6"/>
      <c r="M110" s="6"/>
      <c r="N110" s="10"/>
      <c r="O110" s="6"/>
      <c r="P110" s="6"/>
      <c r="Q110" s="11" t="str">
        <f aca="false">IF(A110="","",TRIM(B110&amp;" "&amp;C110))</f>
        <v/>
      </c>
      <c r="R110" s="12" t="str">
        <f aca="false">IF(A110="","",SUMIFS(Sesiones!$F:$F,Sesiones!$C:$C,A110,Sesiones!$G:$G,"ARS")-SUMIFS(Pagos!$H:$H,Pagos!$D:$D,A110,Pagos!$I:$I,"ARS"))</f>
        <v/>
      </c>
      <c r="S110" s="13" t="str">
        <f aca="false">IF(A110="","",SUMIFS(Sesiones!$F:$F,Sesiones!$C:$C,A110,Sesiones!$G:$G,"USD")-SUMIFS(Pagos!$H:$H,Pagos!$D:$D,A110,Pagos!$I:$I,"USD"))</f>
        <v/>
      </c>
      <c r="T110" s="12" t="str">
        <f aca="false">IF(A110="","",SUMIFS(Pagos!$H:$H,Pagos!$D:$D,A110,Pagos!$I:$I,"ARS"))</f>
        <v/>
      </c>
      <c r="U110" s="13" t="str">
        <f aca="false">IF(A110="","",SUMIFS(Pagos!$H:$H,Pagos!$D:$D,A110,Pagos!$I:$I,"USD"))</f>
        <v/>
      </c>
    </row>
    <row r="111" customFormat="false" ht="15" hidden="false" customHeight="false" outlineLevel="0" collapsed="false">
      <c r="A111" s="6"/>
      <c r="B111" s="6"/>
      <c r="C111" s="6"/>
      <c r="D111" s="7"/>
      <c r="E111" s="7"/>
      <c r="F111" s="6"/>
      <c r="G111" s="7"/>
      <c r="H111" s="6"/>
      <c r="I111" s="6"/>
      <c r="J111" s="6"/>
      <c r="K111" s="9"/>
      <c r="L111" s="6"/>
      <c r="M111" s="6"/>
      <c r="N111" s="10"/>
      <c r="O111" s="6"/>
      <c r="P111" s="6"/>
      <c r="Q111" s="11" t="str">
        <f aca="false">IF(A111="","",TRIM(B111&amp;" "&amp;C111))</f>
        <v/>
      </c>
      <c r="R111" s="12" t="str">
        <f aca="false">IF(A111="","",SUMIFS(Sesiones!$F:$F,Sesiones!$C:$C,A111,Sesiones!$G:$G,"ARS")-SUMIFS(Pagos!$H:$H,Pagos!$D:$D,A111,Pagos!$I:$I,"ARS"))</f>
        <v/>
      </c>
      <c r="S111" s="13" t="str">
        <f aca="false">IF(A111="","",SUMIFS(Sesiones!$F:$F,Sesiones!$C:$C,A111,Sesiones!$G:$G,"USD")-SUMIFS(Pagos!$H:$H,Pagos!$D:$D,A111,Pagos!$I:$I,"USD"))</f>
        <v/>
      </c>
      <c r="T111" s="12" t="str">
        <f aca="false">IF(A111="","",SUMIFS(Pagos!$H:$H,Pagos!$D:$D,A111,Pagos!$I:$I,"ARS"))</f>
        <v/>
      </c>
      <c r="U111" s="13" t="str">
        <f aca="false">IF(A111="","",SUMIFS(Pagos!$H:$H,Pagos!$D:$D,A111,Pagos!$I:$I,"USD"))</f>
        <v/>
      </c>
    </row>
    <row r="112" customFormat="false" ht="15" hidden="false" customHeight="false" outlineLevel="0" collapsed="false">
      <c r="A112" s="6"/>
      <c r="B112" s="6"/>
      <c r="C112" s="6"/>
      <c r="D112" s="7"/>
      <c r="E112" s="7"/>
      <c r="F112" s="6"/>
      <c r="G112" s="7"/>
      <c r="H112" s="6"/>
      <c r="I112" s="6"/>
      <c r="J112" s="6"/>
      <c r="K112" s="9"/>
      <c r="L112" s="6"/>
      <c r="M112" s="6"/>
      <c r="N112" s="10"/>
      <c r="O112" s="6"/>
      <c r="P112" s="6"/>
      <c r="Q112" s="11" t="str">
        <f aca="false">IF(A112="","",TRIM(B112&amp;" "&amp;C112))</f>
        <v/>
      </c>
      <c r="R112" s="12" t="str">
        <f aca="false">IF(A112="","",SUMIFS(Sesiones!$F:$F,Sesiones!$C:$C,A112,Sesiones!$G:$G,"ARS")-SUMIFS(Pagos!$H:$H,Pagos!$D:$D,A112,Pagos!$I:$I,"ARS"))</f>
        <v/>
      </c>
      <c r="S112" s="13" t="str">
        <f aca="false">IF(A112="","",SUMIFS(Sesiones!$F:$F,Sesiones!$C:$C,A112,Sesiones!$G:$G,"USD")-SUMIFS(Pagos!$H:$H,Pagos!$D:$D,A112,Pagos!$I:$I,"USD"))</f>
        <v/>
      </c>
      <c r="T112" s="12" t="str">
        <f aca="false">IF(A112="","",SUMIFS(Pagos!$H:$H,Pagos!$D:$D,A112,Pagos!$I:$I,"ARS"))</f>
        <v/>
      </c>
      <c r="U112" s="13" t="str">
        <f aca="false">IF(A112="","",SUMIFS(Pagos!$H:$H,Pagos!$D:$D,A112,Pagos!$I:$I,"USD"))</f>
        <v/>
      </c>
    </row>
    <row r="113" customFormat="false" ht="15" hidden="false" customHeight="false" outlineLevel="0" collapsed="false">
      <c r="A113" s="6"/>
      <c r="B113" s="6"/>
      <c r="C113" s="6"/>
      <c r="D113" s="7"/>
      <c r="E113" s="7"/>
      <c r="F113" s="6"/>
      <c r="G113" s="7"/>
      <c r="H113" s="6"/>
      <c r="I113" s="6"/>
      <c r="J113" s="6"/>
      <c r="K113" s="9"/>
      <c r="L113" s="6"/>
      <c r="M113" s="6"/>
      <c r="N113" s="10"/>
      <c r="O113" s="6"/>
      <c r="P113" s="6"/>
      <c r="Q113" s="11" t="str">
        <f aca="false">IF(A113="","",TRIM(B113&amp;" "&amp;C113))</f>
        <v/>
      </c>
      <c r="R113" s="12" t="str">
        <f aca="false">IF(A113="","",SUMIFS(Sesiones!$F:$F,Sesiones!$C:$C,A113,Sesiones!$G:$G,"ARS")-SUMIFS(Pagos!$H:$H,Pagos!$D:$D,A113,Pagos!$I:$I,"ARS"))</f>
        <v/>
      </c>
      <c r="S113" s="13" t="str">
        <f aca="false">IF(A113="","",SUMIFS(Sesiones!$F:$F,Sesiones!$C:$C,A113,Sesiones!$G:$G,"USD")-SUMIFS(Pagos!$H:$H,Pagos!$D:$D,A113,Pagos!$I:$I,"USD"))</f>
        <v/>
      </c>
      <c r="T113" s="12" t="str">
        <f aca="false">IF(A113="","",SUMIFS(Pagos!$H:$H,Pagos!$D:$D,A113,Pagos!$I:$I,"ARS"))</f>
        <v/>
      </c>
      <c r="U113" s="13" t="str">
        <f aca="false">IF(A113="","",SUMIFS(Pagos!$H:$H,Pagos!$D:$D,A113,Pagos!$I:$I,"USD"))</f>
        <v/>
      </c>
    </row>
    <row r="114" customFormat="false" ht="15" hidden="false" customHeight="false" outlineLevel="0" collapsed="false">
      <c r="A114" s="6"/>
      <c r="B114" s="6"/>
      <c r="C114" s="6"/>
      <c r="D114" s="7"/>
      <c r="E114" s="7"/>
      <c r="F114" s="6"/>
      <c r="G114" s="7"/>
      <c r="H114" s="6"/>
      <c r="I114" s="6"/>
      <c r="J114" s="6"/>
      <c r="K114" s="9"/>
      <c r="L114" s="6"/>
      <c r="M114" s="6"/>
      <c r="N114" s="10"/>
      <c r="O114" s="6"/>
      <c r="P114" s="6"/>
      <c r="Q114" s="11" t="str">
        <f aca="false">IF(A114="","",TRIM(B114&amp;" "&amp;C114))</f>
        <v/>
      </c>
      <c r="R114" s="12" t="str">
        <f aca="false">IF(A114="","",SUMIFS(Sesiones!$F:$F,Sesiones!$C:$C,A114,Sesiones!$G:$G,"ARS")-SUMIFS(Pagos!$H:$H,Pagos!$D:$D,A114,Pagos!$I:$I,"ARS"))</f>
        <v/>
      </c>
      <c r="S114" s="13" t="str">
        <f aca="false">IF(A114="","",SUMIFS(Sesiones!$F:$F,Sesiones!$C:$C,A114,Sesiones!$G:$G,"USD")-SUMIFS(Pagos!$H:$H,Pagos!$D:$D,A114,Pagos!$I:$I,"USD"))</f>
        <v/>
      </c>
      <c r="T114" s="12" t="str">
        <f aca="false">IF(A114="","",SUMIFS(Pagos!$H:$H,Pagos!$D:$D,A114,Pagos!$I:$I,"ARS"))</f>
        <v/>
      </c>
      <c r="U114" s="13" t="str">
        <f aca="false">IF(A114="","",SUMIFS(Pagos!$H:$H,Pagos!$D:$D,A114,Pagos!$I:$I,"USD"))</f>
        <v/>
      </c>
    </row>
    <row r="115" customFormat="false" ht="15" hidden="false" customHeight="false" outlineLevel="0" collapsed="false">
      <c r="A115" s="6"/>
      <c r="B115" s="6"/>
      <c r="C115" s="6"/>
      <c r="D115" s="7"/>
      <c r="E115" s="7"/>
      <c r="F115" s="6"/>
      <c r="G115" s="7"/>
      <c r="H115" s="6"/>
      <c r="I115" s="6"/>
      <c r="J115" s="6"/>
      <c r="K115" s="9"/>
      <c r="L115" s="6"/>
      <c r="M115" s="6"/>
      <c r="N115" s="10"/>
      <c r="O115" s="6"/>
      <c r="P115" s="6"/>
      <c r="Q115" s="11" t="str">
        <f aca="false">IF(A115="","",TRIM(B115&amp;" "&amp;C115))</f>
        <v/>
      </c>
      <c r="R115" s="12" t="str">
        <f aca="false">IF(A115="","",SUMIFS(Sesiones!$F:$F,Sesiones!$C:$C,A115,Sesiones!$G:$G,"ARS")-SUMIFS(Pagos!$H:$H,Pagos!$D:$D,A115,Pagos!$I:$I,"ARS"))</f>
        <v/>
      </c>
      <c r="S115" s="13" t="str">
        <f aca="false">IF(A115="","",SUMIFS(Sesiones!$F:$F,Sesiones!$C:$C,A115,Sesiones!$G:$G,"USD")-SUMIFS(Pagos!$H:$H,Pagos!$D:$D,A115,Pagos!$I:$I,"USD"))</f>
        <v/>
      </c>
      <c r="T115" s="12" t="str">
        <f aca="false">IF(A115="","",SUMIFS(Pagos!$H:$H,Pagos!$D:$D,A115,Pagos!$I:$I,"ARS"))</f>
        <v/>
      </c>
      <c r="U115" s="13" t="str">
        <f aca="false">IF(A115="","",SUMIFS(Pagos!$H:$H,Pagos!$D:$D,A115,Pagos!$I:$I,"USD"))</f>
        <v/>
      </c>
    </row>
    <row r="116" customFormat="false" ht="15" hidden="false" customHeight="false" outlineLevel="0" collapsed="false">
      <c r="A116" s="6"/>
      <c r="B116" s="6"/>
      <c r="C116" s="6"/>
      <c r="D116" s="7"/>
      <c r="E116" s="7"/>
      <c r="F116" s="6"/>
      <c r="G116" s="7"/>
      <c r="H116" s="6"/>
      <c r="I116" s="6"/>
      <c r="J116" s="6"/>
      <c r="K116" s="9"/>
      <c r="L116" s="6"/>
      <c r="M116" s="6"/>
      <c r="N116" s="10"/>
      <c r="O116" s="6"/>
      <c r="P116" s="6"/>
      <c r="Q116" s="11" t="str">
        <f aca="false">IF(A116="","",TRIM(B116&amp;" "&amp;C116))</f>
        <v/>
      </c>
      <c r="R116" s="12" t="str">
        <f aca="false">IF(A116="","",SUMIFS(Sesiones!$F:$F,Sesiones!$C:$C,A116,Sesiones!$G:$G,"ARS")-SUMIFS(Pagos!$H:$H,Pagos!$D:$D,A116,Pagos!$I:$I,"ARS"))</f>
        <v/>
      </c>
      <c r="S116" s="13" t="str">
        <f aca="false">IF(A116="","",SUMIFS(Sesiones!$F:$F,Sesiones!$C:$C,A116,Sesiones!$G:$G,"USD")-SUMIFS(Pagos!$H:$H,Pagos!$D:$D,A116,Pagos!$I:$I,"USD"))</f>
        <v/>
      </c>
      <c r="T116" s="12" t="str">
        <f aca="false">IF(A116="","",SUMIFS(Pagos!$H:$H,Pagos!$D:$D,A116,Pagos!$I:$I,"ARS"))</f>
        <v/>
      </c>
      <c r="U116" s="13" t="str">
        <f aca="false">IF(A116="","",SUMIFS(Pagos!$H:$H,Pagos!$D:$D,A116,Pagos!$I:$I,"USD"))</f>
        <v/>
      </c>
    </row>
    <row r="117" customFormat="false" ht="15" hidden="false" customHeight="false" outlineLevel="0" collapsed="false">
      <c r="A117" s="6"/>
      <c r="B117" s="6"/>
      <c r="C117" s="6"/>
      <c r="D117" s="7"/>
      <c r="E117" s="7"/>
      <c r="F117" s="6"/>
      <c r="G117" s="7"/>
      <c r="H117" s="6"/>
      <c r="I117" s="6"/>
      <c r="J117" s="6"/>
      <c r="K117" s="9"/>
      <c r="L117" s="6"/>
      <c r="M117" s="6"/>
      <c r="N117" s="10"/>
      <c r="O117" s="6"/>
      <c r="P117" s="6"/>
      <c r="Q117" s="11" t="str">
        <f aca="false">IF(A117="","",TRIM(B117&amp;" "&amp;C117))</f>
        <v/>
      </c>
      <c r="R117" s="12" t="str">
        <f aca="false">IF(A117="","",SUMIFS(Sesiones!$F:$F,Sesiones!$C:$C,A117,Sesiones!$G:$G,"ARS")-SUMIFS(Pagos!$H:$H,Pagos!$D:$D,A117,Pagos!$I:$I,"ARS"))</f>
        <v/>
      </c>
      <c r="S117" s="13" t="str">
        <f aca="false">IF(A117="","",SUMIFS(Sesiones!$F:$F,Sesiones!$C:$C,A117,Sesiones!$G:$G,"USD")-SUMIFS(Pagos!$H:$H,Pagos!$D:$D,A117,Pagos!$I:$I,"USD"))</f>
        <v/>
      </c>
      <c r="T117" s="12" t="str">
        <f aca="false">IF(A117="","",SUMIFS(Pagos!$H:$H,Pagos!$D:$D,A117,Pagos!$I:$I,"ARS"))</f>
        <v/>
      </c>
      <c r="U117" s="13" t="str">
        <f aca="false">IF(A117="","",SUMIFS(Pagos!$H:$H,Pagos!$D:$D,A117,Pagos!$I:$I,"USD"))</f>
        <v/>
      </c>
    </row>
    <row r="118" customFormat="false" ht="15" hidden="false" customHeight="false" outlineLevel="0" collapsed="false">
      <c r="A118" s="6"/>
      <c r="B118" s="6"/>
      <c r="C118" s="6"/>
      <c r="D118" s="7"/>
      <c r="E118" s="7"/>
      <c r="F118" s="6"/>
      <c r="G118" s="7"/>
      <c r="H118" s="6"/>
      <c r="I118" s="6"/>
      <c r="J118" s="6"/>
      <c r="K118" s="9"/>
      <c r="L118" s="6"/>
      <c r="M118" s="6"/>
      <c r="N118" s="10"/>
      <c r="O118" s="6"/>
      <c r="P118" s="6"/>
      <c r="Q118" s="11" t="str">
        <f aca="false">IF(A118="","",TRIM(B118&amp;" "&amp;C118))</f>
        <v/>
      </c>
      <c r="R118" s="12" t="str">
        <f aca="false">IF(A118="","",SUMIFS(Sesiones!$F:$F,Sesiones!$C:$C,A118,Sesiones!$G:$G,"ARS")-SUMIFS(Pagos!$H:$H,Pagos!$D:$D,A118,Pagos!$I:$I,"ARS"))</f>
        <v/>
      </c>
      <c r="S118" s="13" t="str">
        <f aca="false">IF(A118="","",SUMIFS(Sesiones!$F:$F,Sesiones!$C:$C,A118,Sesiones!$G:$G,"USD")-SUMIFS(Pagos!$H:$H,Pagos!$D:$D,A118,Pagos!$I:$I,"USD"))</f>
        <v/>
      </c>
      <c r="T118" s="12" t="str">
        <f aca="false">IF(A118="","",SUMIFS(Pagos!$H:$H,Pagos!$D:$D,A118,Pagos!$I:$I,"ARS"))</f>
        <v/>
      </c>
      <c r="U118" s="13" t="str">
        <f aca="false">IF(A118="","",SUMIFS(Pagos!$H:$H,Pagos!$D:$D,A118,Pagos!$I:$I,"USD"))</f>
        <v/>
      </c>
    </row>
    <row r="119" customFormat="false" ht="15" hidden="false" customHeight="false" outlineLevel="0" collapsed="false">
      <c r="A119" s="6"/>
      <c r="B119" s="6"/>
      <c r="C119" s="6"/>
      <c r="D119" s="7"/>
      <c r="E119" s="7"/>
      <c r="F119" s="6"/>
      <c r="G119" s="7"/>
      <c r="H119" s="6"/>
      <c r="I119" s="6"/>
      <c r="J119" s="6"/>
      <c r="K119" s="9"/>
      <c r="L119" s="6"/>
      <c r="M119" s="6"/>
      <c r="N119" s="10"/>
      <c r="O119" s="6"/>
      <c r="P119" s="6"/>
      <c r="Q119" s="11" t="str">
        <f aca="false">IF(A119="","",TRIM(B119&amp;" "&amp;C119))</f>
        <v/>
      </c>
      <c r="R119" s="12" t="str">
        <f aca="false">IF(A119="","",SUMIFS(Sesiones!$F:$F,Sesiones!$C:$C,A119,Sesiones!$G:$G,"ARS")-SUMIFS(Pagos!$H:$H,Pagos!$D:$D,A119,Pagos!$I:$I,"ARS"))</f>
        <v/>
      </c>
      <c r="S119" s="13" t="str">
        <f aca="false">IF(A119="","",SUMIFS(Sesiones!$F:$F,Sesiones!$C:$C,A119,Sesiones!$G:$G,"USD")-SUMIFS(Pagos!$H:$H,Pagos!$D:$D,A119,Pagos!$I:$I,"USD"))</f>
        <v/>
      </c>
      <c r="T119" s="12" t="str">
        <f aca="false">IF(A119="","",SUMIFS(Pagos!$H:$H,Pagos!$D:$D,A119,Pagos!$I:$I,"ARS"))</f>
        <v/>
      </c>
      <c r="U119" s="13" t="str">
        <f aca="false">IF(A119="","",SUMIFS(Pagos!$H:$H,Pagos!$D:$D,A119,Pagos!$I:$I,"USD"))</f>
        <v/>
      </c>
    </row>
    <row r="120" customFormat="false" ht="15" hidden="false" customHeight="false" outlineLevel="0" collapsed="false">
      <c r="A120" s="6"/>
      <c r="B120" s="6"/>
      <c r="C120" s="6"/>
      <c r="D120" s="7"/>
      <c r="E120" s="7"/>
      <c r="F120" s="6"/>
      <c r="G120" s="7"/>
      <c r="H120" s="6"/>
      <c r="I120" s="6"/>
      <c r="J120" s="6"/>
      <c r="K120" s="9"/>
      <c r="L120" s="6"/>
      <c r="M120" s="6"/>
      <c r="N120" s="10"/>
      <c r="O120" s="6"/>
      <c r="P120" s="6"/>
      <c r="Q120" s="11" t="str">
        <f aca="false">IF(A120="","",TRIM(B120&amp;" "&amp;C120))</f>
        <v/>
      </c>
      <c r="R120" s="12" t="str">
        <f aca="false">IF(A120="","",SUMIFS(Sesiones!$F:$F,Sesiones!$C:$C,A120,Sesiones!$G:$G,"ARS")-SUMIFS(Pagos!$H:$H,Pagos!$D:$D,A120,Pagos!$I:$I,"ARS"))</f>
        <v/>
      </c>
      <c r="S120" s="13" t="str">
        <f aca="false">IF(A120="","",SUMIFS(Sesiones!$F:$F,Sesiones!$C:$C,A120,Sesiones!$G:$G,"USD")-SUMIFS(Pagos!$H:$H,Pagos!$D:$D,A120,Pagos!$I:$I,"USD"))</f>
        <v/>
      </c>
      <c r="T120" s="12" t="str">
        <f aca="false">IF(A120="","",SUMIFS(Pagos!$H:$H,Pagos!$D:$D,A120,Pagos!$I:$I,"ARS"))</f>
        <v/>
      </c>
      <c r="U120" s="13" t="str">
        <f aca="false">IF(A120="","",SUMIFS(Pagos!$H:$H,Pagos!$D:$D,A120,Pagos!$I:$I,"USD"))</f>
        <v/>
      </c>
    </row>
    <row r="121" customFormat="false" ht="15" hidden="false" customHeight="false" outlineLevel="0" collapsed="false">
      <c r="A121" s="6"/>
      <c r="B121" s="6"/>
      <c r="C121" s="6"/>
      <c r="D121" s="7"/>
      <c r="E121" s="7"/>
      <c r="F121" s="6"/>
      <c r="G121" s="7"/>
      <c r="H121" s="6"/>
      <c r="I121" s="6"/>
      <c r="J121" s="6"/>
      <c r="K121" s="9"/>
      <c r="L121" s="6"/>
      <c r="M121" s="6"/>
      <c r="N121" s="10"/>
      <c r="O121" s="6"/>
      <c r="P121" s="6"/>
      <c r="Q121" s="11" t="str">
        <f aca="false">IF(A121="","",TRIM(B121&amp;" "&amp;C121))</f>
        <v/>
      </c>
      <c r="R121" s="12" t="str">
        <f aca="false">IF(A121="","",SUMIFS(Sesiones!$F:$F,Sesiones!$C:$C,A121,Sesiones!$G:$G,"ARS")-SUMIFS(Pagos!$H:$H,Pagos!$D:$D,A121,Pagos!$I:$I,"ARS"))</f>
        <v/>
      </c>
      <c r="S121" s="13" t="str">
        <f aca="false">IF(A121="","",SUMIFS(Sesiones!$F:$F,Sesiones!$C:$C,A121,Sesiones!$G:$G,"USD")-SUMIFS(Pagos!$H:$H,Pagos!$D:$D,A121,Pagos!$I:$I,"USD"))</f>
        <v/>
      </c>
      <c r="T121" s="12" t="str">
        <f aca="false">IF(A121="","",SUMIFS(Pagos!$H:$H,Pagos!$D:$D,A121,Pagos!$I:$I,"ARS"))</f>
        <v/>
      </c>
      <c r="U121" s="13" t="str">
        <f aca="false">IF(A121="","",SUMIFS(Pagos!$H:$H,Pagos!$D:$D,A121,Pagos!$I:$I,"USD"))</f>
        <v/>
      </c>
    </row>
    <row r="122" customFormat="false" ht="15" hidden="false" customHeight="false" outlineLevel="0" collapsed="false">
      <c r="A122" s="6"/>
      <c r="B122" s="6"/>
      <c r="C122" s="6"/>
      <c r="D122" s="7"/>
      <c r="E122" s="7"/>
      <c r="F122" s="6"/>
      <c r="G122" s="7"/>
      <c r="H122" s="6"/>
      <c r="I122" s="6"/>
      <c r="J122" s="6"/>
      <c r="K122" s="9"/>
      <c r="L122" s="6"/>
      <c r="M122" s="6"/>
      <c r="N122" s="10"/>
      <c r="O122" s="6"/>
      <c r="P122" s="6"/>
      <c r="Q122" s="11" t="str">
        <f aca="false">IF(A122="","",TRIM(B122&amp;" "&amp;C122))</f>
        <v/>
      </c>
      <c r="R122" s="12" t="str">
        <f aca="false">IF(A122="","",SUMIFS(Sesiones!$F:$F,Sesiones!$C:$C,A122,Sesiones!$G:$G,"ARS")-SUMIFS(Pagos!$H:$H,Pagos!$D:$D,A122,Pagos!$I:$I,"ARS"))</f>
        <v/>
      </c>
      <c r="S122" s="13" t="str">
        <f aca="false">IF(A122="","",SUMIFS(Sesiones!$F:$F,Sesiones!$C:$C,A122,Sesiones!$G:$G,"USD")-SUMIFS(Pagos!$H:$H,Pagos!$D:$D,A122,Pagos!$I:$I,"USD"))</f>
        <v/>
      </c>
      <c r="T122" s="12" t="str">
        <f aca="false">IF(A122="","",SUMIFS(Pagos!$H:$H,Pagos!$D:$D,A122,Pagos!$I:$I,"ARS"))</f>
        <v/>
      </c>
      <c r="U122" s="13" t="str">
        <f aca="false">IF(A122="","",SUMIFS(Pagos!$H:$H,Pagos!$D:$D,A122,Pagos!$I:$I,"USD"))</f>
        <v/>
      </c>
    </row>
    <row r="123" customFormat="false" ht="15" hidden="false" customHeight="false" outlineLevel="0" collapsed="false">
      <c r="A123" s="6"/>
      <c r="B123" s="6"/>
      <c r="C123" s="6"/>
      <c r="D123" s="7"/>
      <c r="E123" s="7"/>
      <c r="F123" s="6"/>
      <c r="G123" s="7"/>
      <c r="H123" s="6"/>
      <c r="I123" s="6"/>
      <c r="J123" s="6"/>
      <c r="K123" s="9"/>
      <c r="L123" s="6"/>
      <c r="M123" s="6"/>
      <c r="N123" s="10"/>
      <c r="O123" s="6"/>
      <c r="P123" s="6"/>
      <c r="Q123" s="11" t="str">
        <f aca="false">IF(A123="","",TRIM(B123&amp;" "&amp;C123))</f>
        <v/>
      </c>
      <c r="R123" s="12" t="str">
        <f aca="false">IF(A123="","",SUMIFS(Sesiones!$F:$F,Sesiones!$C:$C,A123,Sesiones!$G:$G,"ARS")-SUMIFS(Pagos!$H:$H,Pagos!$D:$D,A123,Pagos!$I:$I,"ARS"))</f>
        <v/>
      </c>
      <c r="S123" s="13" t="str">
        <f aca="false">IF(A123="","",SUMIFS(Sesiones!$F:$F,Sesiones!$C:$C,A123,Sesiones!$G:$G,"USD")-SUMIFS(Pagos!$H:$H,Pagos!$D:$D,A123,Pagos!$I:$I,"USD"))</f>
        <v/>
      </c>
      <c r="T123" s="12" t="str">
        <f aca="false">IF(A123="","",SUMIFS(Pagos!$H:$H,Pagos!$D:$D,A123,Pagos!$I:$I,"ARS"))</f>
        <v/>
      </c>
      <c r="U123" s="13" t="str">
        <f aca="false">IF(A123="","",SUMIFS(Pagos!$H:$H,Pagos!$D:$D,A123,Pagos!$I:$I,"USD"))</f>
        <v/>
      </c>
    </row>
    <row r="124" customFormat="false" ht="15" hidden="false" customHeight="false" outlineLevel="0" collapsed="false">
      <c r="A124" s="6"/>
      <c r="B124" s="6"/>
      <c r="C124" s="6"/>
      <c r="D124" s="7"/>
      <c r="E124" s="7"/>
      <c r="F124" s="6"/>
      <c r="G124" s="7"/>
      <c r="H124" s="6"/>
      <c r="I124" s="6"/>
      <c r="J124" s="6"/>
      <c r="K124" s="9"/>
      <c r="L124" s="6"/>
      <c r="M124" s="6"/>
      <c r="N124" s="10"/>
      <c r="O124" s="6"/>
      <c r="P124" s="6"/>
      <c r="Q124" s="11" t="str">
        <f aca="false">IF(A124="","",TRIM(B124&amp;" "&amp;C124))</f>
        <v/>
      </c>
      <c r="R124" s="12" t="str">
        <f aca="false">IF(A124="","",SUMIFS(Sesiones!$F:$F,Sesiones!$C:$C,A124,Sesiones!$G:$G,"ARS")-SUMIFS(Pagos!$H:$H,Pagos!$D:$D,A124,Pagos!$I:$I,"ARS"))</f>
        <v/>
      </c>
      <c r="S124" s="13" t="str">
        <f aca="false">IF(A124="","",SUMIFS(Sesiones!$F:$F,Sesiones!$C:$C,A124,Sesiones!$G:$G,"USD")-SUMIFS(Pagos!$H:$H,Pagos!$D:$D,A124,Pagos!$I:$I,"USD"))</f>
        <v/>
      </c>
      <c r="T124" s="12" t="str">
        <f aca="false">IF(A124="","",SUMIFS(Pagos!$H:$H,Pagos!$D:$D,A124,Pagos!$I:$I,"ARS"))</f>
        <v/>
      </c>
      <c r="U124" s="13" t="str">
        <f aca="false">IF(A124="","",SUMIFS(Pagos!$H:$H,Pagos!$D:$D,A124,Pagos!$I:$I,"USD"))</f>
        <v/>
      </c>
    </row>
    <row r="125" customFormat="false" ht="15" hidden="false" customHeight="false" outlineLevel="0" collapsed="false">
      <c r="A125" s="6"/>
      <c r="B125" s="6"/>
      <c r="C125" s="6"/>
      <c r="D125" s="7"/>
      <c r="E125" s="7"/>
      <c r="F125" s="6"/>
      <c r="G125" s="7"/>
      <c r="H125" s="6"/>
      <c r="I125" s="6"/>
      <c r="J125" s="6"/>
      <c r="K125" s="9"/>
      <c r="L125" s="6"/>
      <c r="M125" s="6"/>
      <c r="N125" s="10"/>
      <c r="O125" s="6"/>
      <c r="P125" s="6"/>
      <c r="Q125" s="11" t="str">
        <f aca="false">IF(A125="","",TRIM(B125&amp;" "&amp;C125))</f>
        <v/>
      </c>
      <c r="R125" s="12" t="str">
        <f aca="false">IF(A125="","",SUMIFS(Sesiones!$F:$F,Sesiones!$C:$C,A125,Sesiones!$G:$G,"ARS")-SUMIFS(Pagos!$H:$H,Pagos!$D:$D,A125,Pagos!$I:$I,"ARS"))</f>
        <v/>
      </c>
      <c r="S125" s="13" t="str">
        <f aca="false">IF(A125="","",SUMIFS(Sesiones!$F:$F,Sesiones!$C:$C,A125,Sesiones!$G:$G,"USD")-SUMIFS(Pagos!$H:$H,Pagos!$D:$D,A125,Pagos!$I:$I,"USD"))</f>
        <v/>
      </c>
      <c r="T125" s="12" t="str">
        <f aca="false">IF(A125="","",SUMIFS(Pagos!$H:$H,Pagos!$D:$D,A125,Pagos!$I:$I,"ARS"))</f>
        <v/>
      </c>
      <c r="U125" s="13" t="str">
        <f aca="false">IF(A125="","",SUMIFS(Pagos!$H:$H,Pagos!$D:$D,A125,Pagos!$I:$I,"USD"))</f>
        <v/>
      </c>
    </row>
    <row r="126" customFormat="false" ht="15" hidden="false" customHeight="false" outlineLevel="0" collapsed="false">
      <c r="A126" s="6"/>
      <c r="B126" s="6"/>
      <c r="C126" s="6"/>
      <c r="D126" s="7"/>
      <c r="E126" s="7"/>
      <c r="F126" s="6"/>
      <c r="G126" s="7"/>
      <c r="H126" s="6"/>
      <c r="I126" s="6"/>
      <c r="J126" s="6"/>
      <c r="K126" s="9"/>
      <c r="L126" s="6"/>
      <c r="M126" s="6"/>
      <c r="N126" s="10"/>
      <c r="O126" s="6"/>
      <c r="P126" s="6"/>
      <c r="Q126" s="11" t="str">
        <f aca="false">IF(A126="","",TRIM(B126&amp;" "&amp;C126))</f>
        <v/>
      </c>
      <c r="R126" s="12" t="str">
        <f aca="false">IF(A126="","",SUMIFS(Sesiones!$F:$F,Sesiones!$C:$C,A126,Sesiones!$G:$G,"ARS")-SUMIFS(Pagos!$H:$H,Pagos!$D:$D,A126,Pagos!$I:$I,"ARS"))</f>
        <v/>
      </c>
      <c r="S126" s="13" t="str">
        <f aca="false">IF(A126="","",SUMIFS(Sesiones!$F:$F,Sesiones!$C:$C,A126,Sesiones!$G:$G,"USD")-SUMIFS(Pagos!$H:$H,Pagos!$D:$D,A126,Pagos!$I:$I,"USD"))</f>
        <v/>
      </c>
      <c r="T126" s="12" t="str">
        <f aca="false">IF(A126="","",SUMIFS(Pagos!$H:$H,Pagos!$D:$D,A126,Pagos!$I:$I,"ARS"))</f>
        <v/>
      </c>
      <c r="U126" s="13" t="str">
        <f aca="false">IF(A126="","",SUMIFS(Pagos!$H:$H,Pagos!$D:$D,A126,Pagos!$I:$I,"USD"))</f>
        <v/>
      </c>
    </row>
    <row r="127" customFormat="false" ht="15" hidden="false" customHeight="false" outlineLevel="0" collapsed="false">
      <c r="A127" s="6"/>
      <c r="B127" s="6"/>
      <c r="C127" s="6"/>
      <c r="D127" s="7"/>
      <c r="E127" s="7"/>
      <c r="F127" s="6"/>
      <c r="G127" s="7"/>
      <c r="H127" s="6"/>
      <c r="I127" s="6"/>
      <c r="J127" s="6"/>
      <c r="K127" s="9"/>
      <c r="L127" s="6"/>
      <c r="M127" s="6"/>
      <c r="N127" s="10"/>
      <c r="O127" s="6"/>
      <c r="P127" s="6"/>
      <c r="Q127" s="11" t="str">
        <f aca="false">IF(A127="","",TRIM(B127&amp;" "&amp;C127))</f>
        <v/>
      </c>
      <c r="R127" s="12" t="str">
        <f aca="false">IF(A127="","",SUMIFS(Sesiones!$F:$F,Sesiones!$C:$C,A127,Sesiones!$G:$G,"ARS")-SUMIFS(Pagos!$H:$H,Pagos!$D:$D,A127,Pagos!$I:$I,"ARS"))</f>
        <v/>
      </c>
      <c r="S127" s="13" t="str">
        <f aca="false">IF(A127="","",SUMIFS(Sesiones!$F:$F,Sesiones!$C:$C,A127,Sesiones!$G:$G,"USD")-SUMIFS(Pagos!$H:$H,Pagos!$D:$D,A127,Pagos!$I:$I,"USD"))</f>
        <v/>
      </c>
      <c r="T127" s="12" t="str">
        <f aca="false">IF(A127="","",SUMIFS(Pagos!$H:$H,Pagos!$D:$D,A127,Pagos!$I:$I,"ARS"))</f>
        <v/>
      </c>
      <c r="U127" s="13" t="str">
        <f aca="false">IF(A127="","",SUMIFS(Pagos!$H:$H,Pagos!$D:$D,A127,Pagos!$I:$I,"USD"))</f>
        <v/>
      </c>
    </row>
    <row r="128" customFormat="false" ht="15" hidden="false" customHeight="false" outlineLevel="0" collapsed="false">
      <c r="A128" s="6"/>
      <c r="B128" s="6"/>
      <c r="C128" s="6"/>
      <c r="D128" s="7"/>
      <c r="E128" s="7"/>
      <c r="F128" s="6"/>
      <c r="G128" s="7"/>
      <c r="H128" s="6"/>
      <c r="I128" s="6"/>
      <c r="J128" s="6"/>
      <c r="K128" s="9"/>
      <c r="L128" s="6"/>
      <c r="M128" s="6"/>
      <c r="N128" s="10"/>
      <c r="O128" s="6"/>
      <c r="P128" s="6"/>
      <c r="Q128" s="11" t="str">
        <f aca="false">IF(A128="","",TRIM(B128&amp;" "&amp;C128))</f>
        <v/>
      </c>
      <c r="R128" s="12" t="str">
        <f aca="false">IF(A128="","",SUMIFS(Sesiones!$F:$F,Sesiones!$C:$C,A128,Sesiones!$G:$G,"ARS")-SUMIFS(Pagos!$H:$H,Pagos!$D:$D,A128,Pagos!$I:$I,"ARS"))</f>
        <v/>
      </c>
      <c r="S128" s="13" t="str">
        <f aca="false">IF(A128="","",SUMIFS(Sesiones!$F:$F,Sesiones!$C:$C,A128,Sesiones!$G:$G,"USD")-SUMIFS(Pagos!$H:$H,Pagos!$D:$D,A128,Pagos!$I:$I,"USD"))</f>
        <v/>
      </c>
      <c r="T128" s="12" t="str">
        <f aca="false">IF(A128="","",SUMIFS(Pagos!$H:$H,Pagos!$D:$D,A128,Pagos!$I:$I,"ARS"))</f>
        <v/>
      </c>
      <c r="U128" s="13" t="str">
        <f aca="false">IF(A128="","",SUMIFS(Pagos!$H:$H,Pagos!$D:$D,A128,Pagos!$I:$I,"USD"))</f>
        <v/>
      </c>
    </row>
    <row r="129" customFormat="false" ht="15" hidden="false" customHeight="false" outlineLevel="0" collapsed="false">
      <c r="A129" s="6"/>
      <c r="B129" s="6"/>
      <c r="C129" s="6"/>
      <c r="D129" s="7"/>
      <c r="E129" s="7"/>
      <c r="F129" s="6"/>
      <c r="G129" s="7"/>
      <c r="H129" s="6"/>
      <c r="I129" s="6"/>
      <c r="J129" s="6"/>
      <c r="K129" s="9"/>
      <c r="L129" s="6"/>
      <c r="M129" s="6"/>
      <c r="N129" s="10"/>
      <c r="O129" s="6"/>
      <c r="P129" s="6"/>
      <c r="Q129" s="11" t="str">
        <f aca="false">IF(A129="","",TRIM(B129&amp;" "&amp;C129))</f>
        <v/>
      </c>
      <c r="R129" s="12" t="str">
        <f aca="false">IF(A129="","",SUMIFS(Sesiones!$F:$F,Sesiones!$C:$C,A129,Sesiones!$G:$G,"ARS")-SUMIFS(Pagos!$H:$H,Pagos!$D:$D,A129,Pagos!$I:$I,"ARS"))</f>
        <v/>
      </c>
      <c r="S129" s="13" t="str">
        <f aca="false">IF(A129="","",SUMIFS(Sesiones!$F:$F,Sesiones!$C:$C,A129,Sesiones!$G:$G,"USD")-SUMIFS(Pagos!$H:$H,Pagos!$D:$D,A129,Pagos!$I:$I,"USD"))</f>
        <v/>
      </c>
      <c r="T129" s="12" t="str">
        <f aca="false">IF(A129="","",SUMIFS(Pagos!$H:$H,Pagos!$D:$D,A129,Pagos!$I:$I,"ARS"))</f>
        <v/>
      </c>
      <c r="U129" s="13" t="str">
        <f aca="false">IF(A129="","",SUMIFS(Pagos!$H:$H,Pagos!$D:$D,A129,Pagos!$I:$I,"USD"))</f>
        <v/>
      </c>
    </row>
    <row r="130" customFormat="false" ht="15" hidden="false" customHeight="false" outlineLevel="0" collapsed="false">
      <c r="A130" s="6"/>
      <c r="B130" s="6"/>
      <c r="C130" s="6"/>
      <c r="D130" s="7"/>
      <c r="E130" s="7"/>
      <c r="F130" s="6"/>
      <c r="G130" s="7"/>
      <c r="H130" s="6"/>
      <c r="I130" s="6"/>
      <c r="J130" s="6"/>
      <c r="K130" s="9"/>
      <c r="L130" s="6"/>
      <c r="M130" s="6"/>
      <c r="N130" s="10"/>
      <c r="O130" s="6"/>
      <c r="P130" s="6"/>
      <c r="Q130" s="11" t="str">
        <f aca="false">IF(A130="","",TRIM(B130&amp;" "&amp;C130))</f>
        <v/>
      </c>
      <c r="R130" s="12" t="str">
        <f aca="false">IF(A130="","",SUMIFS(Sesiones!$F:$F,Sesiones!$C:$C,A130,Sesiones!$G:$G,"ARS")-SUMIFS(Pagos!$H:$H,Pagos!$D:$D,A130,Pagos!$I:$I,"ARS"))</f>
        <v/>
      </c>
      <c r="S130" s="13" t="str">
        <f aca="false">IF(A130="","",SUMIFS(Sesiones!$F:$F,Sesiones!$C:$C,A130,Sesiones!$G:$G,"USD")-SUMIFS(Pagos!$H:$H,Pagos!$D:$D,A130,Pagos!$I:$I,"USD"))</f>
        <v/>
      </c>
      <c r="T130" s="12" t="str">
        <f aca="false">IF(A130="","",SUMIFS(Pagos!$H:$H,Pagos!$D:$D,A130,Pagos!$I:$I,"ARS"))</f>
        <v/>
      </c>
      <c r="U130" s="13" t="str">
        <f aca="false">IF(A130="","",SUMIFS(Pagos!$H:$H,Pagos!$D:$D,A130,Pagos!$I:$I,"USD"))</f>
        <v/>
      </c>
    </row>
    <row r="131" customFormat="false" ht="15" hidden="false" customHeight="false" outlineLevel="0" collapsed="false">
      <c r="A131" s="6"/>
      <c r="B131" s="6"/>
      <c r="C131" s="6"/>
      <c r="D131" s="7"/>
      <c r="E131" s="7"/>
      <c r="F131" s="6"/>
      <c r="G131" s="7"/>
      <c r="H131" s="6"/>
      <c r="I131" s="6"/>
      <c r="J131" s="6"/>
      <c r="K131" s="9"/>
      <c r="L131" s="6"/>
      <c r="M131" s="6"/>
      <c r="N131" s="10"/>
      <c r="O131" s="6"/>
      <c r="P131" s="6"/>
      <c r="Q131" s="11" t="str">
        <f aca="false">IF(A131="","",TRIM(B131&amp;" "&amp;C131))</f>
        <v/>
      </c>
      <c r="R131" s="12" t="str">
        <f aca="false">IF(A131="","",SUMIFS(Sesiones!$F:$F,Sesiones!$C:$C,A131,Sesiones!$G:$G,"ARS")-SUMIFS(Pagos!$H:$H,Pagos!$D:$D,A131,Pagos!$I:$I,"ARS"))</f>
        <v/>
      </c>
      <c r="S131" s="13" t="str">
        <f aca="false">IF(A131="","",SUMIFS(Sesiones!$F:$F,Sesiones!$C:$C,A131,Sesiones!$G:$G,"USD")-SUMIFS(Pagos!$H:$H,Pagos!$D:$D,A131,Pagos!$I:$I,"USD"))</f>
        <v/>
      </c>
      <c r="T131" s="12" t="str">
        <f aca="false">IF(A131="","",SUMIFS(Pagos!$H:$H,Pagos!$D:$D,A131,Pagos!$I:$I,"ARS"))</f>
        <v/>
      </c>
      <c r="U131" s="13" t="str">
        <f aca="false">IF(A131="","",SUMIFS(Pagos!$H:$H,Pagos!$D:$D,A131,Pagos!$I:$I,"USD"))</f>
        <v/>
      </c>
    </row>
    <row r="132" customFormat="false" ht="15" hidden="false" customHeight="false" outlineLevel="0" collapsed="false">
      <c r="A132" s="6"/>
      <c r="B132" s="6"/>
      <c r="C132" s="6"/>
      <c r="D132" s="7"/>
      <c r="E132" s="7"/>
      <c r="F132" s="6"/>
      <c r="G132" s="7"/>
      <c r="H132" s="6"/>
      <c r="I132" s="6"/>
      <c r="J132" s="6"/>
      <c r="K132" s="9"/>
      <c r="L132" s="6"/>
      <c r="M132" s="6"/>
      <c r="N132" s="10"/>
      <c r="O132" s="6"/>
      <c r="P132" s="6"/>
      <c r="Q132" s="11" t="str">
        <f aca="false">IF(A132="","",TRIM(B132&amp;" "&amp;C132))</f>
        <v/>
      </c>
      <c r="R132" s="12" t="str">
        <f aca="false">IF(A132="","",SUMIFS(Sesiones!$F:$F,Sesiones!$C:$C,A132,Sesiones!$G:$G,"ARS")-SUMIFS(Pagos!$H:$H,Pagos!$D:$D,A132,Pagos!$I:$I,"ARS"))</f>
        <v/>
      </c>
      <c r="S132" s="13" t="str">
        <f aca="false">IF(A132="","",SUMIFS(Sesiones!$F:$F,Sesiones!$C:$C,A132,Sesiones!$G:$G,"USD")-SUMIFS(Pagos!$H:$H,Pagos!$D:$D,A132,Pagos!$I:$I,"USD"))</f>
        <v/>
      </c>
      <c r="T132" s="12" t="str">
        <f aca="false">IF(A132="","",SUMIFS(Pagos!$H:$H,Pagos!$D:$D,A132,Pagos!$I:$I,"ARS"))</f>
        <v/>
      </c>
      <c r="U132" s="13" t="str">
        <f aca="false">IF(A132="","",SUMIFS(Pagos!$H:$H,Pagos!$D:$D,A132,Pagos!$I:$I,"USD"))</f>
        <v/>
      </c>
    </row>
    <row r="133" customFormat="false" ht="15" hidden="false" customHeight="false" outlineLevel="0" collapsed="false">
      <c r="A133" s="6"/>
      <c r="B133" s="6"/>
      <c r="C133" s="6"/>
      <c r="D133" s="7"/>
      <c r="E133" s="7"/>
      <c r="F133" s="6"/>
      <c r="G133" s="7"/>
      <c r="H133" s="6"/>
      <c r="I133" s="6"/>
      <c r="J133" s="6"/>
      <c r="K133" s="9"/>
      <c r="L133" s="6"/>
      <c r="M133" s="6"/>
      <c r="N133" s="10"/>
      <c r="O133" s="6"/>
      <c r="P133" s="6"/>
      <c r="Q133" s="11" t="str">
        <f aca="false">IF(A133="","",TRIM(B133&amp;" "&amp;C133))</f>
        <v/>
      </c>
      <c r="R133" s="12" t="str">
        <f aca="false">IF(A133="","",SUMIFS(Sesiones!$F:$F,Sesiones!$C:$C,A133,Sesiones!$G:$G,"ARS")-SUMIFS(Pagos!$H:$H,Pagos!$D:$D,A133,Pagos!$I:$I,"ARS"))</f>
        <v/>
      </c>
      <c r="S133" s="13" t="str">
        <f aca="false">IF(A133="","",SUMIFS(Sesiones!$F:$F,Sesiones!$C:$C,A133,Sesiones!$G:$G,"USD")-SUMIFS(Pagos!$H:$H,Pagos!$D:$D,A133,Pagos!$I:$I,"USD"))</f>
        <v/>
      </c>
      <c r="T133" s="12" t="str">
        <f aca="false">IF(A133="","",SUMIFS(Pagos!$H:$H,Pagos!$D:$D,A133,Pagos!$I:$I,"ARS"))</f>
        <v/>
      </c>
      <c r="U133" s="13" t="str">
        <f aca="false">IF(A133="","",SUMIFS(Pagos!$H:$H,Pagos!$D:$D,A133,Pagos!$I:$I,"USD"))</f>
        <v/>
      </c>
    </row>
    <row r="134" customFormat="false" ht="15" hidden="false" customHeight="false" outlineLevel="0" collapsed="false">
      <c r="A134" s="6"/>
      <c r="B134" s="6"/>
      <c r="C134" s="6"/>
      <c r="D134" s="7"/>
      <c r="E134" s="7"/>
      <c r="F134" s="6"/>
      <c r="G134" s="7"/>
      <c r="H134" s="6"/>
      <c r="I134" s="6"/>
      <c r="J134" s="6"/>
      <c r="K134" s="9"/>
      <c r="L134" s="6"/>
      <c r="M134" s="6"/>
      <c r="N134" s="10"/>
      <c r="O134" s="6"/>
      <c r="P134" s="6"/>
      <c r="Q134" s="11" t="str">
        <f aca="false">IF(A134="","",TRIM(B134&amp;" "&amp;C134))</f>
        <v/>
      </c>
      <c r="R134" s="12" t="str">
        <f aca="false">IF(A134="","",SUMIFS(Sesiones!$F:$F,Sesiones!$C:$C,A134,Sesiones!$G:$G,"ARS")-SUMIFS(Pagos!$H:$H,Pagos!$D:$D,A134,Pagos!$I:$I,"ARS"))</f>
        <v/>
      </c>
      <c r="S134" s="13" t="str">
        <f aca="false">IF(A134="","",SUMIFS(Sesiones!$F:$F,Sesiones!$C:$C,A134,Sesiones!$G:$G,"USD")-SUMIFS(Pagos!$H:$H,Pagos!$D:$D,A134,Pagos!$I:$I,"USD"))</f>
        <v/>
      </c>
      <c r="T134" s="12" t="str">
        <f aca="false">IF(A134="","",SUMIFS(Pagos!$H:$H,Pagos!$D:$D,A134,Pagos!$I:$I,"ARS"))</f>
        <v/>
      </c>
      <c r="U134" s="13" t="str">
        <f aca="false">IF(A134="","",SUMIFS(Pagos!$H:$H,Pagos!$D:$D,A134,Pagos!$I:$I,"USD"))</f>
        <v/>
      </c>
    </row>
    <row r="135" customFormat="false" ht="15" hidden="false" customHeight="false" outlineLevel="0" collapsed="false">
      <c r="A135" s="6"/>
      <c r="B135" s="6"/>
      <c r="C135" s="6"/>
      <c r="D135" s="7"/>
      <c r="E135" s="7"/>
      <c r="F135" s="6"/>
      <c r="G135" s="7"/>
      <c r="H135" s="6"/>
      <c r="I135" s="6"/>
      <c r="J135" s="6"/>
      <c r="K135" s="9"/>
      <c r="L135" s="6"/>
      <c r="M135" s="6"/>
      <c r="N135" s="10"/>
      <c r="O135" s="6"/>
      <c r="P135" s="6"/>
      <c r="Q135" s="11" t="str">
        <f aca="false">IF(A135="","",TRIM(B135&amp;" "&amp;C135))</f>
        <v/>
      </c>
      <c r="R135" s="12" t="str">
        <f aca="false">IF(A135="","",SUMIFS(Sesiones!$F:$F,Sesiones!$C:$C,A135,Sesiones!$G:$G,"ARS")-SUMIFS(Pagos!$H:$H,Pagos!$D:$D,A135,Pagos!$I:$I,"ARS"))</f>
        <v/>
      </c>
      <c r="S135" s="13" t="str">
        <f aca="false">IF(A135="","",SUMIFS(Sesiones!$F:$F,Sesiones!$C:$C,A135,Sesiones!$G:$G,"USD")-SUMIFS(Pagos!$H:$H,Pagos!$D:$D,A135,Pagos!$I:$I,"USD"))</f>
        <v/>
      </c>
      <c r="T135" s="12" t="str">
        <f aca="false">IF(A135="","",SUMIFS(Pagos!$H:$H,Pagos!$D:$D,A135,Pagos!$I:$I,"ARS"))</f>
        <v/>
      </c>
      <c r="U135" s="13" t="str">
        <f aca="false">IF(A135="","",SUMIFS(Pagos!$H:$H,Pagos!$D:$D,A135,Pagos!$I:$I,"USD"))</f>
        <v/>
      </c>
    </row>
    <row r="136" customFormat="false" ht="15" hidden="false" customHeight="false" outlineLevel="0" collapsed="false">
      <c r="A136" s="6"/>
      <c r="B136" s="6"/>
      <c r="C136" s="6"/>
      <c r="D136" s="7"/>
      <c r="E136" s="7"/>
      <c r="F136" s="6"/>
      <c r="G136" s="7"/>
      <c r="H136" s="6"/>
      <c r="I136" s="6"/>
      <c r="J136" s="6"/>
      <c r="K136" s="9"/>
      <c r="L136" s="6"/>
      <c r="M136" s="6"/>
      <c r="N136" s="10"/>
      <c r="O136" s="6"/>
      <c r="P136" s="6"/>
      <c r="Q136" s="11" t="str">
        <f aca="false">IF(A136="","",TRIM(B136&amp;" "&amp;C136))</f>
        <v/>
      </c>
      <c r="R136" s="12" t="str">
        <f aca="false">IF(A136="","",SUMIFS(Sesiones!$F:$F,Sesiones!$C:$C,A136,Sesiones!$G:$G,"ARS")-SUMIFS(Pagos!$H:$H,Pagos!$D:$D,A136,Pagos!$I:$I,"ARS"))</f>
        <v/>
      </c>
      <c r="S136" s="13" t="str">
        <f aca="false">IF(A136="","",SUMIFS(Sesiones!$F:$F,Sesiones!$C:$C,A136,Sesiones!$G:$G,"USD")-SUMIFS(Pagos!$H:$H,Pagos!$D:$D,A136,Pagos!$I:$I,"USD"))</f>
        <v/>
      </c>
      <c r="T136" s="12" t="str">
        <f aca="false">IF(A136="","",SUMIFS(Pagos!$H:$H,Pagos!$D:$D,A136,Pagos!$I:$I,"ARS"))</f>
        <v/>
      </c>
      <c r="U136" s="13" t="str">
        <f aca="false">IF(A136="","",SUMIFS(Pagos!$H:$H,Pagos!$D:$D,A136,Pagos!$I:$I,"USD"))</f>
        <v/>
      </c>
    </row>
    <row r="137" customFormat="false" ht="15" hidden="false" customHeight="false" outlineLevel="0" collapsed="false">
      <c r="A137" s="6"/>
      <c r="B137" s="6"/>
      <c r="C137" s="6"/>
      <c r="D137" s="7"/>
      <c r="E137" s="7"/>
      <c r="F137" s="6"/>
      <c r="G137" s="7"/>
      <c r="H137" s="6"/>
      <c r="I137" s="6"/>
      <c r="J137" s="6"/>
      <c r="K137" s="9"/>
      <c r="L137" s="6"/>
      <c r="M137" s="6"/>
      <c r="N137" s="10"/>
      <c r="O137" s="6"/>
      <c r="P137" s="6"/>
      <c r="Q137" s="11" t="str">
        <f aca="false">IF(A137="","",TRIM(B137&amp;" "&amp;C137))</f>
        <v/>
      </c>
      <c r="R137" s="12" t="str">
        <f aca="false">IF(A137="","",SUMIFS(Sesiones!$F:$F,Sesiones!$C:$C,A137,Sesiones!$G:$G,"ARS")-SUMIFS(Pagos!$H:$H,Pagos!$D:$D,A137,Pagos!$I:$I,"ARS"))</f>
        <v/>
      </c>
      <c r="S137" s="13" t="str">
        <f aca="false">IF(A137="","",SUMIFS(Sesiones!$F:$F,Sesiones!$C:$C,A137,Sesiones!$G:$G,"USD")-SUMIFS(Pagos!$H:$H,Pagos!$D:$D,A137,Pagos!$I:$I,"USD"))</f>
        <v/>
      </c>
      <c r="T137" s="12" t="str">
        <f aca="false">IF(A137="","",SUMIFS(Pagos!$H:$H,Pagos!$D:$D,A137,Pagos!$I:$I,"ARS"))</f>
        <v/>
      </c>
      <c r="U137" s="13" t="str">
        <f aca="false">IF(A137="","",SUMIFS(Pagos!$H:$H,Pagos!$D:$D,A137,Pagos!$I:$I,"USD"))</f>
        <v/>
      </c>
    </row>
    <row r="138" customFormat="false" ht="15" hidden="false" customHeight="false" outlineLevel="0" collapsed="false">
      <c r="A138" s="6"/>
      <c r="B138" s="6"/>
      <c r="C138" s="6"/>
      <c r="D138" s="7"/>
      <c r="E138" s="7"/>
      <c r="F138" s="6"/>
      <c r="G138" s="7"/>
      <c r="H138" s="6"/>
      <c r="I138" s="6"/>
      <c r="J138" s="6"/>
      <c r="K138" s="9"/>
      <c r="L138" s="6"/>
      <c r="M138" s="6"/>
      <c r="N138" s="10"/>
      <c r="O138" s="6"/>
      <c r="P138" s="6"/>
      <c r="Q138" s="11" t="str">
        <f aca="false">IF(A138="","",TRIM(B138&amp;" "&amp;C138))</f>
        <v/>
      </c>
      <c r="R138" s="12" t="str">
        <f aca="false">IF(A138="","",SUMIFS(Sesiones!$F:$F,Sesiones!$C:$C,A138,Sesiones!$G:$G,"ARS")-SUMIFS(Pagos!$H:$H,Pagos!$D:$D,A138,Pagos!$I:$I,"ARS"))</f>
        <v/>
      </c>
      <c r="S138" s="13" t="str">
        <f aca="false">IF(A138="","",SUMIFS(Sesiones!$F:$F,Sesiones!$C:$C,A138,Sesiones!$G:$G,"USD")-SUMIFS(Pagos!$H:$H,Pagos!$D:$D,A138,Pagos!$I:$I,"USD"))</f>
        <v/>
      </c>
      <c r="T138" s="12" t="str">
        <f aca="false">IF(A138="","",SUMIFS(Pagos!$H:$H,Pagos!$D:$D,A138,Pagos!$I:$I,"ARS"))</f>
        <v/>
      </c>
      <c r="U138" s="13" t="str">
        <f aca="false">IF(A138="","",SUMIFS(Pagos!$H:$H,Pagos!$D:$D,A138,Pagos!$I:$I,"USD"))</f>
        <v/>
      </c>
    </row>
    <row r="139" customFormat="false" ht="15" hidden="false" customHeight="false" outlineLevel="0" collapsed="false">
      <c r="A139" s="6"/>
      <c r="B139" s="6"/>
      <c r="C139" s="6"/>
      <c r="D139" s="7"/>
      <c r="E139" s="7"/>
      <c r="F139" s="6"/>
      <c r="G139" s="7"/>
      <c r="H139" s="6"/>
      <c r="I139" s="6"/>
      <c r="J139" s="6"/>
      <c r="K139" s="9"/>
      <c r="L139" s="6"/>
      <c r="M139" s="6"/>
      <c r="N139" s="10"/>
      <c r="O139" s="6"/>
      <c r="P139" s="6"/>
      <c r="Q139" s="11" t="str">
        <f aca="false">IF(A139="","",TRIM(B139&amp;" "&amp;C139))</f>
        <v/>
      </c>
      <c r="R139" s="12" t="str">
        <f aca="false">IF(A139="","",SUMIFS(Sesiones!$F:$F,Sesiones!$C:$C,A139,Sesiones!$G:$G,"ARS")-SUMIFS(Pagos!$H:$H,Pagos!$D:$D,A139,Pagos!$I:$I,"ARS"))</f>
        <v/>
      </c>
      <c r="S139" s="13" t="str">
        <f aca="false">IF(A139="","",SUMIFS(Sesiones!$F:$F,Sesiones!$C:$C,A139,Sesiones!$G:$G,"USD")-SUMIFS(Pagos!$H:$H,Pagos!$D:$D,A139,Pagos!$I:$I,"USD"))</f>
        <v/>
      </c>
      <c r="T139" s="12" t="str">
        <f aca="false">IF(A139="","",SUMIFS(Pagos!$H:$H,Pagos!$D:$D,A139,Pagos!$I:$I,"ARS"))</f>
        <v/>
      </c>
      <c r="U139" s="13" t="str">
        <f aca="false">IF(A139="","",SUMIFS(Pagos!$H:$H,Pagos!$D:$D,A139,Pagos!$I:$I,"USD"))</f>
        <v/>
      </c>
    </row>
    <row r="140" customFormat="false" ht="15" hidden="false" customHeight="false" outlineLevel="0" collapsed="false">
      <c r="A140" s="6"/>
      <c r="B140" s="6"/>
      <c r="C140" s="6"/>
      <c r="D140" s="7"/>
      <c r="E140" s="7"/>
      <c r="F140" s="6"/>
      <c r="G140" s="7"/>
      <c r="H140" s="6"/>
      <c r="I140" s="6"/>
      <c r="J140" s="6"/>
      <c r="K140" s="9"/>
      <c r="L140" s="6"/>
      <c r="M140" s="6"/>
      <c r="N140" s="10"/>
      <c r="O140" s="6"/>
      <c r="P140" s="6"/>
      <c r="Q140" s="11" t="str">
        <f aca="false">IF(A140="","",TRIM(B140&amp;" "&amp;C140))</f>
        <v/>
      </c>
      <c r="R140" s="12" t="str">
        <f aca="false">IF(A140="","",SUMIFS(Sesiones!$F:$F,Sesiones!$C:$C,A140,Sesiones!$G:$G,"ARS")-SUMIFS(Pagos!$H:$H,Pagos!$D:$D,A140,Pagos!$I:$I,"ARS"))</f>
        <v/>
      </c>
      <c r="S140" s="13" t="str">
        <f aca="false">IF(A140="","",SUMIFS(Sesiones!$F:$F,Sesiones!$C:$C,A140,Sesiones!$G:$G,"USD")-SUMIFS(Pagos!$H:$H,Pagos!$D:$D,A140,Pagos!$I:$I,"USD"))</f>
        <v/>
      </c>
      <c r="T140" s="12" t="str">
        <f aca="false">IF(A140="","",SUMIFS(Pagos!$H:$H,Pagos!$D:$D,A140,Pagos!$I:$I,"ARS"))</f>
        <v/>
      </c>
      <c r="U140" s="13" t="str">
        <f aca="false">IF(A140="","",SUMIFS(Pagos!$H:$H,Pagos!$D:$D,A140,Pagos!$I:$I,"USD"))</f>
        <v/>
      </c>
    </row>
    <row r="141" customFormat="false" ht="15" hidden="false" customHeight="false" outlineLevel="0" collapsed="false">
      <c r="A141" s="6"/>
      <c r="B141" s="6"/>
      <c r="C141" s="6"/>
      <c r="D141" s="7"/>
      <c r="E141" s="7"/>
      <c r="F141" s="6"/>
      <c r="G141" s="7"/>
      <c r="H141" s="6"/>
      <c r="I141" s="6"/>
      <c r="J141" s="6"/>
      <c r="K141" s="9"/>
      <c r="L141" s="6"/>
      <c r="M141" s="6"/>
      <c r="N141" s="10"/>
      <c r="O141" s="6"/>
      <c r="P141" s="6"/>
      <c r="Q141" s="11" t="str">
        <f aca="false">IF(A141="","",TRIM(B141&amp;" "&amp;C141))</f>
        <v/>
      </c>
      <c r="R141" s="12" t="str">
        <f aca="false">IF(A141="","",SUMIFS(Sesiones!$F:$F,Sesiones!$C:$C,A141,Sesiones!$G:$G,"ARS")-SUMIFS(Pagos!$H:$H,Pagos!$D:$D,A141,Pagos!$I:$I,"ARS"))</f>
        <v/>
      </c>
      <c r="S141" s="13" t="str">
        <f aca="false">IF(A141="","",SUMIFS(Sesiones!$F:$F,Sesiones!$C:$C,A141,Sesiones!$G:$G,"USD")-SUMIFS(Pagos!$H:$H,Pagos!$D:$D,A141,Pagos!$I:$I,"USD"))</f>
        <v/>
      </c>
      <c r="T141" s="12" t="str">
        <f aca="false">IF(A141="","",SUMIFS(Pagos!$H:$H,Pagos!$D:$D,A141,Pagos!$I:$I,"ARS"))</f>
        <v/>
      </c>
      <c r="U141" s="13" t="str">
        <f aca="false">IF(A141="","",SUMIFS(Pagos!$H:$H,Pagos!$D:$D,A141,Pagos!$I:$I,"USD"))</f>
        <v/>
      </c>
    </row>
    <row r="142" customFormat="false" ht="15" hidden="false" customHeight="false" outlineLevel="0" collapsed="false">
      <c r="A142" s="6"/>
      <c r="B142" s="6"/>
      <c r="C142" s="6"/>
      <c r="D142" s="7"/>
      <c r="E142" s="7"/>
      <c r="F142" s="6"/>
      <c r="G142" s="7"/>
      <c r="H142" s="6"/>
      <c r="I142" s="6"/>
      <c r="J142" s="6"/>
      <c r="K142" s="9"/>
      <c r="L142" s="6"/>
      <c r="M142" s="6"/>
      <c r="N142" s="10"/>
      <c r="O142" s="6"/>
      <c r="P142" s="6"/>
      <c r="Q142" s="11" t="str">
        <f aca="false">IF(A142="","",TRIM(B142&amp;" "&amp;C142))</f>
        <v/>
      </c>
      <c r="R142" s="12" t="str">
        <f aca="false">IF(A142="","",SUMIFS(Sesiones!$F:$F,Sesiones!$C:$C,A142,Sesiones!$G:$G,"ARS")-SUMIFS(Pagos!$H:$H,Pagos!$D:$D,A142,Pagos!$I:$I,"ARS"))</f>
        <v/>
      </c>
      <c r="S142" s="13" t="str">
        <f aca="false">IF(A142="","",SUMIFS(Sesiones!$F:$F,Sesiones!$C:$C,A142,Sesiones!$G:$G,"USD")-SUMIFS(Pagos!$H:$H,Pagos!$D:$D,A142,Pagos!$I:$I,"USD"))</f>
        <v/>
      </c>
      <c r="T142" s="12" t="str">
        <f aca="false">IF(A142="","",SUMIFS(Pagos!$H:$H,Pagos!$D:$D,A142,Pagos!$I:$I,"ARS"))</f>
        <v/>
      </c>
      <c r="U142" s="13" t="str">
        <f aca="false">IF(A142="","",SUMIFS(Pagos!$H:$H,Pagos!$D:$D,A142,Pagos!$I:$I,"USD"))</f>
        <v/>
      </c>
    </row>
    <row r="143" customFormat="false" ht="15" hidden="false" customHeight="false" outlineLevel="0" collapsed="false">
      <c r="A143" s="6"/>
      <c r="B143" s="6"/>
      <c r="C143" s="6"/>
      <c r="D143" s="7"/>
      <c r="E143" s="7"/>
      <c r="F143" s="6"/>
      <c r="G143" s="7"/>
      <c r="H143" s="6"/>
      <c r="I143" s="6"/>
      <c r="J143" s="6"/>
      <c r="K143" s="9"/>
      <c r="L143" s="6"/>
      <c r="M143" s="6"/>
      <c r="N143" s="10"/>
      <c r="O143" s="6"/>
      <c r="P143" s="6"/>
      <c r="Q143" s="11" t="str">
        <f aca="false">IF(A143="","",TRIM(B143&amp;" "&amp;C143))</f>
        <v/>
      </c>
      <c r="R143" s="12" t="str">
        <f aca="false">IF(A143="","",SUMIFS(Sesiones!$F:$F,Sesiones!$C:$C,A143,Sesiones!$G:$G,"ARS")-SUMIFS(Pagos!$H:$H,Pagos!$D:$D,A143,Pagos!$I:$I,"ARS"))</f>
        <v/>
      </c>
      <c r="S143" s="13" t="str">
        <f aca="false">IF(A143="","",SUMIFS(Sesiones!$F:$F,Sesiones!$C:$C,A143,Sesiones!$G:$G,"USD")-SUMIFS(Pagos!$H:$H,Pagos!$D:$D,A143,Pagos!$I:$I,"USD"))</f>
        <v/>
      </c>
      <c r="T143" s="12" t="str">
        <f aca="false">IF(A143="","",SUMIFS(Pagos!$H:$H,Pagos!$D:$D,A143,Pagos!$I:$I,"ARS"))</f>
        <v/>
      </c>
      <c r="U143" s="13" t="str">
        <f aca="false">IF(A143="","",SUMIFS(Pagos!$H:$H,Pagos!$D:$D,A143,Pagos!$I:$I,"USD"))</f>
        <v/>
      </c>
    </row>
    <row r="144" customFormat="false" ht="15" hidden="false" customHeight="false" outlineLevel="0" collapsed="false">
      <c r="A144" s="6"/>
      <c r="B144" s="6"/>
      <c r="C144" s="6"/>
      <c r="D144" s="7"/>
      <c r="E144" s="7"/>
      <c r="F144" s="6"/>
      <c r="G144" s="7"/>
      <c r="H144" s="6"/>
      <c r="I144" s="6"/>
      <c r="J144" s="6"/>
      <c r="K144" s="9"/>
      <c r="L144" s="6"/>
      <c r="M144" s="6"/>
      <c r="N144" s="10"/>
      <c r="O144" s="6"/>
      <c r="P144" s="6"/>
      <c r="Q144" s="11" t="str">
        <f aca="false">IF(A144="","",TRIM(B144&amp;" "&amp;C144))</f>
        <v/>
      </c>
      <c r="R144" s="12" t="str">
        <f aca="false">IF(A144="","",SUMIFS(Sesiones!$F:$F,Sesiones!$C:$C,A144,Sesiones!$G:$G,"ARS")-SUMIFS(Pagos!$H:$H,Pagos!$D:$D,A144,Pagos!$I:$I,"ARS"))</f>
        <v/>
      </c>
      <c r="S144" s="13" t="str">
        <f aca="false">IF(A144="","",SUMIFS(Sesiones!$F:$F,Sesiones!$C:$C,A144,Sesiones!$G:$G,"USD")-SUMIFS(Pagos!$H:$H,Pagos!$D:$D,A144,Pagos!$I:$I,"USD"))</f>
        <v/>
      </c>
      <c r="T144" s="12" t="str">
        <f aca="false">IF(A144="","",SUMIFS(Pagos!$H:$H,Pagos!$D:$D,A144,Pagos!$I:$I,"ARS"))</f>
        <v/>
      </c>
      <c r="U144" s="13" t="str">
        <f aca="false">IF(A144="","",SUMIFS(Pagos!$H:$H,Pagos!$D:$D,A144,Pagos!$I:$I,"USD"))</f>
        <v/>
      </c>
    </row>
    <row r="145" customFormat="false" ht="15" hidden="false" customHeight="false" outlineLevel="0" collapsed="false">
      <c r="A145" s="6"/>
      <c r="B145" s="6"/>
      <c r="C145" s="6"/>
      <c r="D145" s="7"/>
      <c r="E145" s="7"/>
      <c r="F145" s="6"/>
      <c r="G145" s="7"/>
      <c r="H145" s="6"/>
      <c r="I145" s="6"/>
      <c r="J145" s="6"/>
      <c r="K145" s="9"/>
      <c r="L145" s="6"/>
      <c r="M145" s="6"/>
      <c r="N145" s="10"/>
      <c r="O145" s="6"/>
      <c r="P145" s="6"/>
      <c r="Q145" s="11" t="str">
        <f aca="false">IF(A145="","",TRIM(B145&amp;" "&amp;C145))</f>
        <v/>
      </c>
      <c r="R145" s="12" t="str">
        <f aca="false">IF(A145="","",SUMIFS(Sesiones!$F:$F,Sesiones!$C:$C,A145,Sesiones!$G:$G,"ARS")-SUMIFS(Pagos!$H:$H,Pagos!$D:$D,A145,Pagos!$I:$I,"ARS"))</f>
        <v/>
      </c>
      <c r="S145" s="13" t="str">
        <f aca="false">IF(A145="","",SUMIFS(Sesiones!$F:$F,Sesiones!$C:$C,A145,Sesiones!$G:$G,"USD")-SUMIFS(Pagos!$H:$H,Pagos!$D:$D,A145,Pagos!$I:$I,"USD"))</f>
        <v/>
      </c>
      <c r="T145" s="12" t="str">
        <f aca="false">IF(A145="","",SUMIFS(Pagos!$H:$H,Pagos!$D:$D,A145,Pagos!$I:$I,"ARS"))</f>
        <v/>
      </c>
      <c r="U145" s="13" t="str">
        <f aca="false">IF(A145="","",SUMIFS(Pagos!$H:$H,Pagos!$D:$D,A145,Pagos!$I:$I,"USD"))</f>
        <v/>
      </c>
    </row>
    <row r="146" customFormat="false" ht="15" hidden="false" customHeight="false" outlineLevel="0" collapsed="false">
      <c r="A146" s="6"/>
      <c r="B146" s="6"/>
      <c r="C146" s="6"/>
      <c r="D146" s="7"/>
      <c r="E146" s="7"/>
      <c r="F146" s="6"/>
      <c r="G146" s="7"/>
      <c r="H146" s="6"/>
      <c r="I146" s="6"/>
      <c r="J146" s="6"/>
      <c r="K146" s="9"/>
      <c r="L146" s="6"/>
      <c r="M146" s="6"/>
      <c r="N146" s="10"/>
      <c r="O146" s="6"/>
      <c r="P146" s="6"/>
      <c r="Q146" s="11" t="str">
        <f aca="false">IF(A146="","",TRIM(B146&amp;" "&amp;C146))</f>
        <v/>
      </c>
      <c r="R146" s="12" t="str">
        <f aca="false">IF(A146="","",SUMIFS(Sesiones!$F:$F,Sesiones!$C:$C,A146,Sesiones!$G:$G,"ARS")-SUMIFS(Pagos!$H:$H,Pagos!$D:$D,A146,Pagos!$I:$I,"ARS"))</f>
        <v/>
      </c>
      <c r="S146" s="13" t="str">
        <f aca="false">IF(A146="","",SUMIFS(Sesiones!$F:$F,Sesiones!$C:$C,A146,Sesiones!$G:$G,"USD")-SUMIFS(Pagos!$H:$H,Pagos!$D:$D,A146,Pagos!$I:$I,"USD"))</f>
        <v/>
      </c>
      <c r="T146" s="12" t="str">
        <f aca="false">IF(A146="","",SUMIFS(Pagos!$H:$H,Pagos!$D:$D,A146,Pagos!$I:$I,"ARS"))</f>
        <v/>
      </c>
      <c r="U146" s="13" t="str">
        <f aca="false">IF(A146="","",SUMIFS(Pagos!$H:$H,Pagos!$D:$D,A146,Pagos!$I:$I,"USD"))</f>
        <v/>
      </c>
    </row>
    <row r="147" customFormat="false" ht="15" hidden="false" customHeight="false" outlineLevel="0" collapsed="false">
      <c r="A147" s="6"/>
      <c r="B147" s="6"/>
      <c r="C147" s="6"/>
      <c r="D147" s="7"/>
      <c r="E147" s="7"/>
      <c r="F147" s="6"/>
      <c r="G147" s="7"/>
      <c r="H147" s="6"/>
      <c r="I147" s="6"/>
      <c r="J147" s="6"/>
      <c r="K147" s="9"/>
      <c r="L147" s="6"/>
      <c r="M147" s="6"/>
      <c r="N147" s="10"/>
      <c r="O147" s="6"/>
      <c r="P147" s="6"/>
      <c r="Q147" s="11" t="str">
        <f aca="false">IF(A147="","",TRIM(B147&amp;" "&amp;C147))</f>
        <v/>
      </c>
      <c r="R147" s="12" t="str">
        <f aca="false">IF(A147="","",SUMIFS(Sesiones!$F:$F,Sesiones!$C:$C,A147,Sesiones!$G:$G,"ARS")-SUMIFS(Pagos!$H:$H,Pagos!$D:$D,A147,Pagos!$I:$I,"ARS"))</f>
        <v/>
      </c>
      <c r="S147" s="13" t="str">
        <f aca="false">IF(A147="","",SUMIFS(Sesiones!$F:$F,Sesiones!$C:$C,A147,Sesiones!$G:$G,"USD")-SUMIFS(Pagos!$H:$H,Pagos!$D:$D,A147,Pagos!$I:$I,"USD"))</f>
        <v/>
      </c>
      <c r="T147" s="12" t="str">
        <f aca="false">IF(A147="","",SUMIFS(Pagos!$H:$H,Pagos!$D:$D,A147,Pagos!$I:$I,"ARS"))</f>
        <v/>
      </c>
      <c r="U147" s="13" t="str">
        <f aca="false">IF(A147="","",SUMIFS(Pagos!$H:$H,Pagos!$D:$D,A147,Pagos!$I:$I,"USD"))</f>
        <v/>
      </c>
    </row>
    <row r="148" customFormat="false" ht="15" hidden="false" customHeight="false" outlineLevel="0" collapsed="false">
      <c r="A148" s="6"/>
      <c r="B148" s="6"/>
      <c r="C148" s="6"/>
      <c r="D148" s="7"/>
      <c r="E148" s="7"/>
      <c r="F148" s="6"/>
      <c r="G148" s="7"/>
      <c r="H148" s="6"/>
      <c r="I148" s="6"/>
      <c r="J148" s="6"/>
      <c r="K148" s="9"/>
      <c r="L148" s="6"/>
      <c r="M148" s="6"/>
      <c r="N148" s="10"/>
      <c r="O148" s="6"/>
      <c r="P148" s="6"/>
      <c r="Q148" s="11" t="str">
        <f aca="false">IF(A148="","",TRIM(B148&amp;" "&amp;C148))</f>
        <v/>
      </c>
      <c r="R148" s="12" t="str">
        <f aca="false">IF(A148="","",SUMIFS(Sesiones!$F:$F,Sesiones!$C:$C,A148,Sesiones!$G:$G,"ARS")-SUMIFS(Pagos!$H:$H,Pagos!$D:$D,A148,Pagos!$I:$I,"ARS"))</f>
        <v/>
      </c>
      <c r="S148" s="13" t="str">
        <f aca="false">IF(A148="","",SUMIFS(Sesiones!$F:$F,Sesiones!$C:$C,A148,Sesiones!$G:$G,"USD")-SUMIFS(Pagos!$H:$H,Pagos!$D:$D,A148,Pagos!$I:$I,"USD"))</f>
        <v/>
      </c>
      <c r="T148" s="12" t="str">
        <f aca="false">IF(A148="","",SUMIFS(Pagos!$H:$H,Pagos!$D:$D,A148,Pagos!$I:$I,"ARS"))</f>
        <v/>
      </c>
      <c r="U148" s="13" t="str">
        <f aca="false">IF(A148="","",SUMIFS(Pagos!$H:$H,Pagos!$D:$D,A148,Pagos!$I:$I,"USD"))</f>
        <v/>
      </c>
    </row>
    <row r="149" customFormat="false" ht="15" hidden="false" customHeight="false" outlineLevel="0" collapsed="false">
      <c r="A149" s="6"/>
      <c r="B149" s="6"/>
      <c r="C149" s="6"/>
      <c r="D149" s="7"/>
      <c r="E149" s="7"/>
      <c r="F149" s="6"/>
      <c r="G149" s="7"/>
      <c r="H149" s="6"/>
      <c r="I149" s="6"/>
      <c r="J149" s="6"/>
      <c r="K149" s="9"/>
      <c r="L149" s="6"/>
      <c r="M149" s="6"/>
      <c r="N149" s="10"/>
      <c r="O149" s="6"/>
      <c r="P149" s="6"/>
      <c r="Q149" s="11" t="str">
        <f aca="false">IF(A149="","",TRIM(B149&amp;" "&amp;C149))</f>
        <v/>
      </c>
      <c r="R149" s="12" t="str">
        <f aca="false">IF(A149="","",SUMIFS(Sesiones!$F:$F,Sesiones!$C:$C,A149,Sesiones!$G:$G,"ARS")-SUMIFS(Pagos!$H:$H,Pagos!$D:$D,A149,Pagos!$I:$I,"ARS"))</f>
        <v/>
      </c>
      <c r="S149" s="13" t="str">
        <f aca="false">IF(A149="","",SUMIFS(Sesiones!$F:$F,Sesiones!$C:$C,A149,Sesiones!$G:$G,"USD")-SUMIFS(Pagos!$H:$H,Pagos!$D:$D,A149,Pagos!$I:$I,"USD"))</f>
        <v/>
      </c>
      <c r="T149" s="12" t="str">
        <f aca="false">IF(A149="","",SUMIFS(Pagos!$H:$H,Pagos!$D:$D,A149,Pagos!$I:$I,"ARS"))</f>
        <v/>
      </c>
      <c r="U149" s="13" t="str">
        <f aca="false">IF(A149="","",SUMIFS(Pagos!$H:$H,Pagos!$D:$D,A149,Pagos!$I:$I,"USD"))</f>
        <v/>
      </c>
    </row>
    <row r="150" customFormat="false" ht="15" hidden="false" customHeight="false" outlineLevel="0" collapsed="false">
      <c r="A150" s="6"/>
      <c r="B150" s="6"/>
      <c r="C150" s="6"/>
      <c r="D150" s="7"/>
      <c r="E150" s="7"/>
      <c r="F150" s="6"/>
      <c r="G150" s="7"/>
      <c r="H150" s="6"/>
      <c r="I150" s="6"/>
      <c r="J150" s="6"/>
      <c r="K150" s="9"/>
      <c r="L150" s="6"/>
      <c r="M150" s="6"/>
      <c r="N150" s="10"/>
      <c r="O150" s="6"/>
      <c r="P150" s="6"/>
      <c r="Q150" s="11" t="str">
        <f aca="false">IF(A150="","",TRIM(B150&amp;" "&amp;C150))</f>
        <v/>
      </c>
      <c r="R150" s="12" t="str">
        <f aca="false">IF(A150="","",SUMIFS(Sesiones!$F:$F,Sesiones!$C:$C,A150,Sesiones!$G:$G,"ARS")-SUMIFS(Pagos!$H:$H,Pagos!$D:$D,A150,Pagos!$I:$I,"ARS"))</f>
        <v/>
      </c>
      <c r="S150" s="13" t="str">
        <f aca="false">IF(A150="","",SUMIFS(Sesiones!$F:$F,Sesiones!$C:$C,A150,Sesiones!$G:$G,"USD")-SUMIFS(Pagos!$H:$H,Pagos!$D:$D,A150,Pagos!$I:$I,"USD"))</f>
        <v/>
      </c>
      <c r="T150" s="12" t="str">
        <f aca="false">IF(A150="","",SUMIFS(Pagos!$H:$H,Pagos!$D:$D,A150,Pagos!$I:$I,"ARS"))</f>
        <v/>
      </c>
      <c r="U150" s="13" t="str">
        <f aca="false">IF(A150="","",SUMIFS(Pagos!$H:$H,Pagos!$D:$D,A150,Pagos!$I:$I,"USD"))</f>
        <v/>
      </c>
    </row>
    <row r="151" customFormat="false" ht="15" hidden="false" customHeight="false" outlineLevel="0" collapsed="false">
      <c r="A151" s="6"/>
      <c r="B151" s="6"/>
      <c r="C151" s="6"/>
      <c r="D151" s="7"/>
      <c r="E151" s="7"/>
      <c r="F151" s="6"/>
      <c r="G151" s="7"/>
      <c r="H151" s="6"/>
      <c r="I151" s="6"/>
      <c r="J151" s="6"/>
      <c r="K151" s="9"/>
      <c r="L151" s="6"/>
      <c r="M151" s="6"/>
      <c r="N151" s="10"/>
      <c r="O151" s="6"/>
      <c r="P151" s="6"/>
      <c r="Q151" s="11" t="str">
        <f aca="false">IF(A151="","",TRIM(B151&amp;" "&amp;C151))</f>
        <v/>
      </c>
      <c r="R151" s="12" t="str">
        <f aca="false">IF(A151="","",SUMIFS(Sesiones!$F:$F,Sesiones!$C:$C,A151,Sesiones!$G:$G,"ARS")-SUMIFS(Pagos!$H:$H,Pagos!$D:$D,A151,Pagos!$I:$I,"ARS"))</f>
        <v/>
      </c>
      <c r="S151" s="13" t="str">
        <f aca="false">IF(A151="","",SUMIFS(Sesiones!$F:$F,Sesiones!$C:$C,A151,Sesiones!$G:$G,"USD")-SUMIFS(Pagos!$H:$H,Pagos!$D:$D,A151,Pagos!$I:$I,"USD"))</f>
        <v/>
      </c>
      <c r="T151" s="12" t="str">
        <f aca="false">IF(A151="","",SUMIFS(Pagos!$H:$H,Pagos!$D:$D,A151,Pagos!$I:$I,"ARS"))</f>
        <v/>
      </c>
      <c r="U151" s="13" t="str">
        <f aca="false">IF(A151="","",SUMIFS(Pagos!$H:$H,Pagos!$D:$D,A151,Pagos!$I:$I,"USD"))</f>
        <v/>
      </c>
    </row>
    <row r="152" customFormat="false" ht="15" hidden="false" customHeight="false" outlineLevel="0" collapsed="false">
      <c r="A152" s="6"/>
      <c r="B152" s="6"/>
      <c r="C152" s="6"/>
      <c r="D152" s="7"/>
      <c r="E152" s="7"/>
      <c r="F152" s="6"/>
      <c r="G152" s="7"/>
      <c r="H152" s="6"/>
      <c r="I152" s="6"/>
      <c r="J152" s="6"/>
      <c r="K152" s="9"/>
      <c r="L152" s="6"/>
      <c r="M152" s="6"/>
      <c r="N152" s="10"/>
      <c r="O152" s="6"/>
      <c r="P152" s="6"/>
      <c r="Q152" s="11" t="str">
        <f aca="false">IF(A152="","",TRIM(B152&amp;" "&amp;C152))</f>
        <v/>
      </c>
      <c r="R152" s="12" t="str">
        <f aca="false">IF(A152="","",SUMIFS(Sesiones!$F:$F,Sesiones!$C:$C,A152,Sesiones!$G:$G,"ARS")-SUMIFS(Pagos!$H:$H,Pagos!$D:$D,A152,Pagos!$I:$I,"ARS"))</f>
        <v/>
      </c>
      <c r="S152" s="13" t="str">
        <f aca="false">IF(A152="","",SUMIFS(Sesiones!$F:$F,Sesiones!$C:$C,A152,Sesiones!$G:$G,"USD")-SUMIFS(Pagos!$H:$H,Pagos!$D:$D,A152,Pagos!$I:$I,"USD"))</f>
        <v/>
      </c>
      <c r="T152" s="12" t="str">
        <f aca="false">IF(A152="","",SUMIFS(Pagos!$H:$H,Pagos!$D:$D,A152,Pagos!$I:$I,"ARS"))</f>
        <v/>
      </c>
      <c r="U152" s="13" t="str">
        <f aca="false">IF(A152="","",SUMIFS(Pagos!$H:$H,Pagos!$D:$D,A152,Pagos!$I:$I,"USD"))</f>
        <v/>
      </c>
    </row>
    <row r="153" customFormat="false" ht="15" hidden="false" customHeight="false" outlineLevel="0" collapsed="false">
      <c r="A153" s="6"/>
      <c r="B153" s="6"/>
      <c r="C153" s="6"/>
      <c r="D153" s="7"/>
      <c r="E153" s="7"/>
      <c r="F153" s="6"/>
      <c r="G153" s="7"/>
      <c r="H153" s="6"/>
      <c r="I153" s="6"/>
      <c r="J153" s="6"/>
      <c r="K153" s="9"/>
      <c r="L153" s="6"/>
      <c r="M153" s="6"/>
      <c r="N153" s="10"/>
      <c r="O153" s="6"/>
      <c r="P153" s="6"/>
      <c r="Q153" s="11" t="str">
        <f aca="false">IF(A153="","",TRIM(B153&amp;" "&amp;C153))</f>
        <v/>
      </c>
      <c r="R153" s="12" t="str">
        <f aca="false">IF(A153="","",SUMIFS(Sesiones!$F:$F,Sesiones!$C:$C,A153,Sesiones!$G:$G,"ARS")-SUMIFS(Pagos!$H:$H,Pagos!$D:$D,A153,Pagos!$I:$I,"ARS"))</f>
        <v/>
      </c>
      <c r="S153" s="13" t="str">
        <f aca="false">IF(A153="","",SUMIFS(Sesiones!$F:$F,Sesiones!$C:$C,A153,Sesiones!$G:$G,"USD")-SUMIFS(Pagos!$H:$H,Pagos!$D:$D,A153,Pagos!$I:$I,"USD"))</f>
        <v/>
      </c>
      <c r="T153" s="12" t="str">
        <f aca="false">IF(A153="","",SUMIFS(Pagos!$H:$H,Pagos!$D:$D,A153,Pagos!$I:$I,"ARS"))</f>
        <v/>
      </c>
      <c r="U153" s="13" t="str">
        <f aca="false">IF(A153="","",SUMIFS(Pagos!$H:$H,Pagos!$D:$D,A153,Pagos!$I:$I,"USD"))</f>
        <v/>
      </c>
    </row>
    <row r="154" customFormat="false" ht="15" hidden="false" customHeight="false" outlineLevel="0" collapsed="false">
      <c r="A154" s="6"/>
      <c r="B154" s="6"/>
      <c r="C154" s="6"/>
      <c r="D154" s="7"/>
      <c r="E154" s="7"/>
      <c r="F154" s="6"/>
      <c r="G154" s="7"/>
      <c r="H154" s="6"/>
      <c r="I154" s="6"/>
      <c r="J154" s="6"/>
      <c r="K154" s="9"/>
      <c r="L154" s="6"/>
      <c r="M154" s="6"/>
      <c r="N154" s="10"/>
      <c r="O154" s="6"/>
      <c r="P154" s="6"/>
      <c r="Q154" s="11" t="str">
        <f aca="false">IF(A154="","",TRIM(B154&amp;" "&amp;C154))</f>
        <v/>
      </c>
      <c r="R154" s="12" t="str">
        <f aca="false">IF(A154="","",SUMIFS(Sesiones!$F:$F,Sesiones!$C:$C,A154,Sesiones!$G:$G,"ARS")-SUMIFS(Pagos!$H:$H,Pagos!$D:$D,A154,Pagos!$I:$I,"ARS"))</f>
        <v/>
      </c>
      <c r="S154" s="13" t="str">
        <f aca="false">IF(A154="","",SUMIFS(Sesiones!$F:$F,Sesiones!$C:$C,A154,Sesiones!$G:$G,"USD")-SUMIFS(Pagos!$H:$H,Pagos!$D:$D,A154,Pagos!$I:$I,"USD"))</f>
        <v/>
      </c>
      <c r="T154" s="12" t="str">
        <f aca="false">IF(A154="","",SUMIFS(Pagos!$H:$H,Pagos!$D:$D,A154,Pagos!$I:$I,"ARS"))</f>
        <v/>
      </c>
      <c r="U154" s="13" t="str">
        <f aca="false">IF(A154="","",SUMIFS(Pagos!$H:$H,Pagos!$D:$D,A154,Pagos!$I:$I,"USD"))</f>
        <v/>
      </c>
    </row>
    <row r="155" customFormat="false" ht="15" hidden="false" customHeight="false" outlineLevel="0" collapsed="false">
      <c r="A155" s="6"/>
      <c r="B155" s="6"/>
      <c r="C155" s="6"/>
      <c r="D155" s="7"/>
      <c r="E155" s="7"/>
      <c r="F155" s="6"/>
      <c r="G155" s="7"/>
      <c r="H155" s="6"/>
      <c r="I155" s="6"/>
      <c r="J155" s="6"/>
      <c r="K155" s="9"/>
      <c r="L155" s="6"/>
      <c r="M155" s="6"/>
      <c r="N155" s="10"/>
      <c r="O155" s="6"/>
      <c r="P155" s="6"/>
      <c r="Q155" s="11" t="str">
        <f aca="false">IF(A155="","",TRIM(B155&amp;" "&amp;C155))</f>
        <v/>
      </c>
      <c r="R155" s="12" t="str">
        <f aca="false">IF(A155="","",SUMIFS(Sesiones!$F:$F,Sesiones!$C:$C,A155,Sesiones!$G:$G,"ARS")-SUMIFS(Pagos!$H:$H,Pagos!$D:$D,A155,Pagos!$I:$I,"ARS"))</f>
        <v/>
      </c>
      <c r="S155" s="13" t="str">
        <f aca="false">IF(A155="","",SUMIFS(Sesiones!$F:$F,Sesiones!$C:$C,A155,Sesiones!$G:$G,"USD")-SUMIFS(Pagos!$H:$H,Pagos!$D:$D,A155,Pagos!$I:$I,"USD"))</f>
        <v/>
      </c>
      <c r="T155" s="12" t="str">
        <f aca="false">IF(A155="","",SUMIFS(Pagos!$H:$H,Pagos!$D:$D,A155,Pagos!$I:$I,"ARS"))</f>
        <v/>
      </c>
      <c r="U155" s="13" t="str">
        <f aca="false">IF(A155="","",SUMIFS(Pagos!$H:$H,Pagos!$D:$D,A155,Pagos!$I:$I,"USD"))</f>
        <v/>
      </c>
    </row>
    <row r="156" customFormat="false" ht="15" hidden="false" customHeight="false" outlineLevel="0" collapsed="false">
      <c r="A156" s="6"/>
      <c r="B156" s="6"/>
      <c r="C156" s="6"/>
      <c r="D156" s="7"/>
      <c r="E156" s="7"/>
      <c r="F156" s="6"/>
      <c r="G156" s="7"/>
      <c r="H156" s="6"/>
      <c r="I156" s="6"/>
      <c r="J156" s="6"/>
      <c r="K156" s="9"/>
      <c r="L156" s="6"/>
      <c r="M156" s="6"/>
      <c r="N156" s="10"/>
      <c r="O156" s="6"/>
      <c r="P156" s="6"/>
      <c r="Q156" s="11" t="str">
        <f aca="false">IF(A156="","",TRIM(B156&amp;" "&amp;C156))</f>
        <v/>
      </c>
      <c r="R156" s="12" t="str">
        <f aca="false">IF(A156="","",SUMIFS(Sesiones!$F:$F,Sesiones!$C:$C,A156,Sesiones!$G:$G,"ARS")-SUMIFS(Pagos!$H:$H,Pagos!$D:$D,A156,Pagos!$I:$I,"ARS"))</f>
        <v/>
      </c>
      <c r="S156" s="13" t="str">
        <f aca="false">IF(A156="","",SUMIFS(Sesiones!$F:$F,Sesiones!$C:$C,A156,Sesiones!$G:$G,"USD")-SUMIFS(Pagos!$H:$H,Pagos!$D:$D,A156,Pagos!$I:$I,"USD"))</f>
        <v/>
      </c>
      <c r="T156" s="12" t="str">
        <f aca="false">IF(A156="","",SUMIFS(Pagos!$H:$H,Pagos!$D:$D,A156,Pagos!$I:$I,"ARS"))</f>
        <v/>
      </c>
      <c r="U156" s="13" t="str">
        <f aca="false">IF(A156="","",SUMIFS(Pagos!$H:$H,Pagos!$D:$D,A156,Pagos!$I:$I,"USD"))</f>
        <v/>
      </c>
    </row>
    <row r="157" customFormat="false" ht="15" hidden="false" customHeight="false" outlineLevel="0" collapsed="false">
      <c r="A157" s="6"/>
      <c r="B157" s="6"/>
      <c r="C157" s="6"/>
      <c r="D157" s="7"/>
      <c r="E157" s="7"/>
      <c r="F157" s="6"/>
      <c r="G157" s="7"/>
      <c r="H157" s="6"/>
      <c r="I157" s="6"/>
      <c r="J157" s="6"/>
      <c r="K157" s="9"/>
      <c r="L157" s="6"/>
      <c r="M157" s="6"/>
      <c r="N157" s="10"/>
      <c r="O157" s="6"/>
      <c r="P157" s="6"/>
      <c r="Q157" s="11" t="str">
        <f aca="false">IF(A157="","",TRIM(B157&amp;" "&amp;C157))</f>
        <v/>
      </c>
      <c r="R157" s="12" t="str">
        <f aca="false">IF(A157="","",SUMIFS(Sesiones!$F:$F,Sesiones!$C:$C,A157,Sesiones!$G:$G,"ARS")-SUMIFS(Pagos!$H:$H,Pagos!$D:$D,A157,Pagos!$I:$I,"ARS"))</f>
        <v/>
      </c>
      <c r="S157" s="13" t="str">
        <f aca="false">IF(A157="","",SUMIFS(Sesiones!$F:$F,Sesiones!$C:$C,A157,Sesiones!$G:$G,"USD")-SUMIFS(Pagos!$H:$H,Pagos!$D:$D,A157,Pagos!$I:$I,"USD"))</f>
        <v/>
      </c>
      <c r="T157" s="12" t="str">
        <f aca="false">IF(A157="","",SUMIFS(Pagos!$H:$H,Pagos!$D:$D,A157,Pagos!$I:$I,"ARS"))</f>
        <v/>
      </c>
      <c r="U157" s="13" t="str">
        <f aca="false">IF(A157="","",SUMIFS(Pagos!$H:$H,Pagos!$D:$D,A157,Pagos!$I:$I,"USD"))</f>
        <v/>
      </c>
    </row>
    <row r="158" customFormat="false" ht="15" hidden="false" customHeight="false" outlineLevel="0" collapsed="false">
      <c r="A158" s="6"/>
      <c r="B158" s="6"/>
      <c r="C158" s="6"/>
      <c r="D158" s="7"/>
      <c r="E158" s="7"/>
      <c r="F158" s="6"/>
      <c r="G158" s="7"/>
      <c r="H158" s="6"/>
      <c r="I158" s="6"/>
      <c r="J158" s="6"/>
      <c r="K158" s="9"/>
      <c r="L158" s="6"/>
      <c r="M158" s="6"/>
      <c r="N158" s="10"/>
      <c r="O158" s="6"/>
      <c r="P158" s="6"/>
      <c r="Q158" s="11" t="str">
        <f aca="false">IF(A158="","",TRIM(B158&amp;" "&amp;C158))</f>
        <v/>
      </c>
      <c r="R158" s="12" t="str">
        <f aca="false">IF(A158="","",SUMIFS(Sesiones!$F:$F,Sesiones!$C:$C,A158,Sesiones!$G:$G,"ARS")-SUMIFS(Pagos!$H:$H,Pagos!$D:$D,A158,Pagos!$I:$I,"ARS"))</f>
        <v/>
      </c>
      <c r="S158" s="13" t="str">
        <f aca="false">IF(A158="","",SUMIFS(Sesiones!$F:$F,Sesiones!$C:$C,A158,Sesiones!$G:$G,"USD")-SUMIFS(Pagos!$H:$H,Pagos!$D:$D,A158,Pagos!$I:$I,"USD"))</f>
        <v/>
      </c>
      <c r="T158" s="12" t="str">
        <f aca="false">IF(A158="","",SUMIFS(Pagos!$H:$H,Pagos!$D:$D,A158,Pagos!$I:$I,"ARS"))</f>
        <v/>
      </c>
      <c r="U158" s="13" t="str">
        <f aca="false">IF(A158="","",SUMIFS(Pagos!$H:$H,Pagos!$D:$D,A158,Pagos!$I:$I,"USD"))</f>
        <v/>
      </c>
    </row>
    <row r="159" customFormat="false" ht="15" hidden="false" customHeight="false" outlineLevel="0" collapsed="false">
      <c r="A159" s="6"/>
      <c r="B159" s="6"/>
      <c r="C159" s="6"/>
      <c r="D159" s="7"/>
      <c r="E159" s="7"/>
      <c r="F159" s="6"/>
      <c r="G159" s="7"/>
      <c r="H159" s="6"/>
      <c r="I159" s="6"/>
      <c r="J159" s="6"/>
      <c r="K159" s="9"/>
      <c r="L159" s="6"/>
      <c r="M159" s="6"/>
      <c r="N159" s="10"/>
      <c r="O159" s="6"/>
      <c r="P159" s="6"/>
      <c r="Q159" s="11" t="str">
        <f aca="false">IF(A159="","",TRIM(B159&amp;" "&amp;C159))</f>
        <v/>
      </c>
      <c r="R159" s="12" t="str">
        <f aca="false">IF(A159="","",SUMIFS(Sesiones!$F:$F,Sesiones!$C:$C,A159,Sesiones!$G:$G,"ARS")-SUMIFS(Pagos!$H:$H,Pagos!$D:$D,A159,Pagos!$I:$I,"ARS"))</f>
        <v/>
      </c>
      <c r="S159" s="13" t="str">
        <f aca="false">IF(A159="","",SUMIFS(Sesiones!$F:$F,Sesiones!$C:$C,A159,Sesiones!$G:$G,"USD")-SUMIFS(Pagos!$H:$H,Pagos!$D:$D,A159,Pagos!$I:$I,"USD"))</f>
        <v/>
      </c>
      <c r="T159" s="12" t="str">
        <f aca="false">IF(A159="","",SUMIFS(Pagos!$H:$H,Pagos!$D:$D,A159,Pagos!$I:$I,"ARS"))</f>
        <v/>
      </c>
      <c r="U159" s="13" t="str">
        <f aca="false">IF(A159="","",SUMIFS(Pagos!$H:$H,Pagos!$D:$D,A159,Pagos!$I:$I,"USD"))</f>
        <v/>
      </c>
    </row>
    <row r="160" customFormat="false" ht="15" hidden="false" customHeight="false" outlineLevel="0" collapsed="false">
      <c r="A160" s="6"/>
      <c r="B160" s="6"/>
      <c r="C160" s="6"/>
      <c r="D160" s="7"/>
      <c r="E160" s="7"/>
      <c r="F160" s="6"/>
      <c r="G160" s="7"/>
      <c r="H160" s="6"/>
      <c r="I160" s="6"/>
      <c r="J160" s="6"/>
      <c r="K160" s="9"/>
      <c r="L160" s="6"/>
      <c r="M160" s="6"/>
      <c r="N160" s="10"/>
      <c r="O160" s="6"/>
      <c r="P160" s="6"/>
      <c r="Q160" s="11" t="str">
        <f aca="false">IF(A160="","",TRIM(B160&amp;" "&amp;C160))</f>
        <v/>
      </c>
      <c r="R160" s="12" t="str">
        <f aca="false">IF(A160="","",SUMIFS(Sesiones!$F:$F,Sesiones!$C:$C,A160,Sesiones!$G:$G,"ARS")-SUMIFS(Pagos!$H:$H,Pagos!$D:$D,A160,Pagos!$I:$I,"ARS"))</f>
        <v/>
      </c>
      <c r="S160" s="13" t="str">
        <f aca="false">IF(A160="","",SUMIFS(Sesiones!$F:$F,Sesiones!$C:$C,A160,Sesiones!$G:$G,"USD")-SUMIFS(Pagos!$H:$H,Pagos!$D:$D,A160,Pagos!$I:$I,"USD"))</f>
        <v/>
      </c>
      <c r="T160" s="12" t="str">
        <f aca="false">IF(A160="","",SUMIFS(Pagos!$H:$H,Pagos!$D:$D,A160,Pagos!$I:$I,"ARS"))</f>
        <v/>
      </c>
      <c r="U160" s="13" t="str">
        <f aca="false">IF(A160="","",SUMIFS(Pagos!$H:$H,Pagos!$D:$D,A160,Pagos!$I:$I,"USD"))</f>
        <v/>
      </c>
    </row>
    <row r="161" customFormat="false" ht="15" hidden="false" customHeight="false" outlineLevel="0" collapsed="false">
      <c r="A161" s="6"/>
      <c r="B161" s="6"/>
      <c r="C161" s="6"/>
      <c r="D161" s="7"/>
      <c r="E161" s="7"/>
      <c r="F161" s="6"/>
      <c r="G161" s="7"/>
      <c r="H161" s="6"/>
      <c r="I161" s="6"/>
      <c r="J161" s="6"/>
      <c r="K161" s="9"/>
      <c r="L161" s="6"/>
      <c r="M161" s="6"/>
      <c r="N161" s="10"/>
      <c r="O161" s="6"/>
      <c r="P161" s="6"/>
      <c r="Q161" s="11" t="str">
        <f aca="false">IF(A161="","",TRIM(B161&amp;" "&amp;C161))</f>
        <v/>
      </c>
      <c r="R161" s="12" t="str">
        <f aca="false">IF(A161="","",SUMIFS(Sesiones!$F:$F,Sesiones!$C:$C,A161,Sesiones!$G:$G,"ARS")-SUMIFS(Pagos!$H:$H,Pagos!$D:$D,A161,Pagos!$I:$I,"ARS"))</f>
        <v/>
      </c>
      <c r="S161" s="13" t="str">
        <f aca="false">IF(A161="","",SUMIFS(Sesiones!$F:$F,Sesiones!$C:$C,A161,Sesiones!$G:$G,"USD")-SUMIFS(Pagos!$H:$H,Pagos!$D:$D,A161,Pagos!$I:$I,"USD"))</f>
        <v/>
      </c>
      <c r="T161" s="12" t="str">
        <f aca="false">IF(A161="","",SUMIFS(Pagos!$H:$H,Pagos!$D:$D,A161,Pagos!$I:$I,"ARS"))</f>
        <v/>
      </c>
      <c r="U161" s="13" t="str">
        <f aca="false">IF(A161="","",SUMIFS(Pagos!$H:$H,Pagos!$D:$D,A161,Pagos!$I:$I,"USD"))</f>
        <v/>
      </c>
    </row>
    <row r="162" customFormat="false" ht="15" hidden="false" customHeight="false" outlineLevel="0" collapsed="false">
      <c r="A162" s="6"/>
      <c r="B162" s="6"/>
      <c r="C162" s="6"/>
      <c r="D162" s="7"/>
      <c r="E162" s="7"/>
      <c r="F162" s="6"/>
      <c r="G162" s="7"/>
      <c r="H162" s="6"/>
      <c r="I162" s="6"/>
      <c r="J162" s="6"/>
      <c r="K162" s="9"/>
      <c r="L162" s="6"/>
      <c r="M162" s="6"/>
      <c r="N162" s="10"/>
      <c r="O162" s="6"/>
      <c r="P162" s="6"/>
      <c r="Q162" s="11" t="str">
        <f aca="false">IF(A162="","",TRIM(B162&amp;" "&amp;C162))</f>
        <v/>
      </c>
      <c r="R162" s="12" t="str">
        <f aca="false">IF(A162="","",SUMIFS(Sesiones!$F:$F,Sesiones!$C:$C,A162,Sesiones!$G:$G,"ARS")-SUMIFS(Pagos!$H:$H,Pagos!$D:$D,A162,Pagos!$I:$I,"ARS"))</f>
        <v/>
      </c>
      <c r="S162" s="13" t="str">
        <f aca="false">IF(A162="","",SUMIFS(Sesiones!$F:$F,Sesiones!$C:$C,A162,Sesiones!$G:$G,"USD")-SUMIFS(Pagos!$H:$H,Pagos!$D:$D,A162,Pagos!$I:$I,"USD"))</f>
        <v/>
      </c>
      <c r="T162" s="12" t="str">
        <f aca="false">IF(A162="","",SUMIFS(Pagos!$H:$H,Pagos!$D:$D,A162,Pagos!$I:$I,"ARS"))</f>
        <v/>
      </c>
      <c r="U162" s="13" t="str">
        <f aca="false">IF(A162="","",SUMIFS(Pagos!$H:$H,Pagos!$D:$D,A162,Pagos!$I:$I,"USD"))</f>
        <v/>
      </c>
    </row>
    <row r="163" customFormat="false" ht="15" hidden="false" customHeight="false" outlineLevel="0" collapsed="false">
      <c r="A163" s="6"/>
      <c r="B163" s="6"/>
      <c r="C163" s="6"/>
      <c r="D163" s="7"/>
      <c r="E163" s="7"/>
      <c r="F163" s="6"/>
      <c r="G163" s="7"/>
      <c r="H163" s="6"/>
      <c r="I163" s="6"/>
      <c r="J163" s="6"/>
      <c r="K163" s="9"/>
      <c r="L163" s="6"/>
      <c r="M163" s="6"/>
      <c r="N163" s="10"/>
      <c r="O163" s="6"/>
      <c r="P163" s="6"/>
      <c r="Q163" s="11" t="str">
        <f aca="false">IF(A163="","",TRIM(B163&amp;" "&amp;C163))</f>
        <v/>
      </c>
      <c r="R163" s="12" t="str">
        <f aca="false">IF(A163="","",SUMIFS(Sesiones!$F:$F,Sesiones!$C:$C,A163,Sesiones!$G:$G,"ARS")-SUMIFS(Pagos!$H:$H,Pagos!$D:$D,A163,Pagos!$I:$I,"ARS"))</f>
        <v/>
      </c>
      <c r="S163" s="13" t="str">
        <f aca="false">IF(A163="","",SUMIFS(Sesiones!$F:$F,Sesiones!$C:$C,A163,Sesiones!$G:$G,"USD")-SUMIFS(Pagos!$H:$H,Pagos!$D:$D,A163,Pagos!$I:$I,"USD"))</f>
        <v/>
      </c>
      <c r="T163" s="12" t="str">
        <f aca="false">IF(A163="","",SUMIFS(Pagos!$H:$H,Pagos!$D:$D,A163,Pagos!$I:$I,"ARS"))</f>
        <v/>
      </c>
      <c r="U163" s="13" t="str">
        <f aca="false">IF(A163="","",SUMIFS(Pagos!$H:$H,Pagos!$D:$D,A163,Pagos!$I:$I,"USD"))</f>
        <v/>
      </c>
    </row>
    <row r="164" customFormat="false" ht="15" hidden="false" customHeight="false" outlineLevel="0" collapsed="false">
      <c r="A164" s="6"/>
      <c r="B164" s="6"/>
      <c r="C164" s="6"/>
      <c r="D164" s="7"/>
      <c r="E164" s="7"/>
      <c r="F164" s="6"/>
      <c r="G164" s="7"/>
      <c r="H164" s="6"/>
      <c r="I164" s="6"/>
      <c r="J164" s="6"/>
      <c r="K164" s="9"/>
      <c r="L164" s="6"/>
      <c r="M164" s="6"/>
      <c r="N164" s="10"/>
      <c r="O164" s="6"/>
      <c r="P164" s="6"/>
      <c r="Q164" s="11" t="str">
        <f aca="false">IF(A164="","",TRIM(B164&amp;" "&amp;C164))</f>
        <v/>
      </c>
      <c r="R164" s="12" t="str">
        <f aca="false">IF(A164="","",SUMIFS(Sesiones!$F:$F,Sesiones!$C:$C,A164,Sesiones!$G:$G,"ARS")-SUMIFS(Pagos!$H:$H,Pagos!$D:$D,A164,Pagos!$I:$I,"ARS"))</f>
        <v/>
      </c>
      <c r="S164" s="13" t="str">
        <f aca="false">IF(A164="","",SUMIFS(Sesiones!$F:$F,Sesiones!$C:$C,A164,Sesiones!$G:$G,"USD")-SUMIFS(Pagos!$H:$H,Pagos!$D:$D,A164,Pagos!$I:$I,"USD"))</f>
        <v/>
      </c>
      <c r="T164" s="12" t="str">
        <f aca="false">IF(A164="","",SUMIFS(Pagos!$H:$H,Pagos!$D:$D,A164,Pagos!$I:$I,"ARS"))</f>
        <v/>
      </c>
      <c r="U164" s="13" t="str">
        <f aca="false">IF(A164="","",SUMIFS(Pagos!$H:$H,Pagos!$D:$D,A164,Pagos!$I:$I,"USD"))</f>
        <v/>
      </c>
    </row>
    <row r="165" customFormat="false" ht="15" hidden="false" customHeight="false" outlineLevel="0" collapsed="false">
      <c r="A165" s="6"/>
      <c r="B165" s="6"/>
      <c r="C165" s="6"/>
      <c r="D165" s="7"/>
      <c r="E165" s="7"/>
      <c r="F165" s="6"/>
      <c r="G165" s="7"/>
      <c r="H165" s="6"/>
      <c r="I165" s="6"/>
      <c r="J165" s="6"/>
      <c r="K165" s="9"/>
      <c r="L165" s="6"/>
      <c r="M165" s="6"/>
      <c r="N165" s="10"/>
      <c r="O165" s="6"/>
      <c r="P165" s="6"/>
      <c r="Q165" s="11" t="str">
        <f aca="false">IF(A165="","",TRIM(B165&amp;" "&amp;C165))</f>
        <v/>
      </c>
      <c r="R165" s="12" t="str">
        <f aca="false">IF(A165="","",SUMIFS(Sesiones!$F:$F,Sesiones!$C:$C,A165,Sesiones!$G:$G,"ARS")-SUMIFS(Pagos!$H:$H,Pagos!$D:$D,A165,Pagos!$I:$I,"ARS"))</f>
        <v/>
      </c>
      <c r="S165" s="13" t="str">
        <f aca="false">IF(A165="","",SUMIFS(Sesiones!$F:$F,Sesiones!$C:$C,A165,Sesiones!$G:$G,"USD")-SUMIFS(Pagos!$H:$H,Pagos!$D:$D,A165,Pagos!$I:$I,"USD"))</f>
        <v/>
      </c>
      <c r="T165" s="12" t="str">
        <f aca="false">IF(A165="","",SUMIFS(Pagos!$H:$H,Pagos!$D:$D,A165,Pagos!$I:$I,"ARS"))</f>
        <v/>
      </c>
      <c r="U165" s="13" t="str">
        <f aca="false">IF(A165="","",SUMIFS(Pagos!$H:$H,Pagos!$D:$D,A165,Pagos!$I:$I,"USD"))</f>
        <v/>
      </c>
    </row>
    <row r="166" customFormat="false" ht="15" hidden="false" customHeight="false" outlineLevel="0" collapsed="false">
      <c r="A166" s="6"/>
      <c r="B166" s="6"/>
      <c r="C166" s="6"/>
      <c r="D166" s="7"/>
      <c r="E166" s="7"/>
      <c r="F166" s="6"/>
      <c r="G166" s="7"/>
      <c r="H166" s="6"/>
      <c r="I166" s="6"/>
      <c r="J166" s="6"/>
      <c r="K166" s="9"/>
      <c r="L166" s="6"/>
      <c r="M166" s="6"/>
      <c r="N166" s="10"/>
      <c r="O166" s="6"/>
      <c r="P166" s="6"/>
      <c r="Q166" s="11" t="str">
        <f aca="false">IF(A166="","",TRIM(B166&amp;" "&amp;C166))</f>
        <v/>
      </c>
      <c r="R166" s="12" t="str">
        <f aca="false">IF(A166="","",SUMIFS(Sesiones!$F:$F,Sesiones!$C:$C,A166,Sesiones!$G:$G,"ARS")-SUMIFS(Pagos!$H:$H,Pagos!$D:$D,A166,Pagos!$I:$I,"ARS"))</f>
        <v/>
      </c>
      <c r="S166" s="13" t="str">
        <f aca="false">IF(A166="","",SUMIFS(Sesiones!$F:$F,Sesiones!$C:$C,A166,Sesiones!$G:$G,"USD")-SUMIFS(Pagos!$H:$H,Pagos!$D:$D,A166,Pagos!$I:$I,"USD"))</f>
        <v/>
      </c>
      <c r="T166" s="12" t="str">
        <f aca="false">IF(A166="","",SUMIFS(Pagos!$H:$H,Pagos!$D:$D,A166,Pagos!$I:$I,"ARS"))</f>
        <v/>
      </c>
      <c r="U166" s="13" t="str">
        <f aca="false">IF(A166="","",SUMIFS(Pagos!$H:$H,Pagos!$D:$D,A166,Pagos!$I:$I,"USD"))</f>
        <v/>
      </c>
    </row>
    <row r="167" customFormat="false" ht="15" hidden="false" customHeight="false" outlineLevel="0" collapsed="false">
      <c r="A167" s="6"/>
      <c r="B167" s="6"/>
      <c r="C167" s="6"/>
      <c r="D167" s="7"/>
      <c r="E167" s="7"/>
      <c r="F167" s="6"/>
      <c r="G167" s="7"/>
      <c r="H167" s="6"/>
      <c r="I167" s="6"/>
      <c r="J167" s="6"/>
      <c r="K167" s="9"/>
      <c r="L167" s="6"/>
      <c r="M167" s="6"/>
      <c r="N167" s="10"/>
      <c r="O167" s="6"/>
      <c r="P167" s="6"/>
      <c r="Q167" s="11" t="str">
        <f aca="false">IF(A167="","",TRIM(B167&amp;" "&amp;C167))</f>
        <v/>
      </c>
      <c r="R167" s="12" t="str">
        <f aca="false">IF(A167="","",SUMIFS(Sesiones!$F:$F,Sesiones!$C:$C,A167,Sesiones!$G:$G,"ARS")-SUMIFS(Pagos!$H:$H,Pagos!$D:$D,A167,Pagos!$I:$I,"ARS"))</f>
        <v/>
      </c>
      <c r="S167" s="13" t="str">
        <f aca="false">IF(A167="","",SUMIFS(Sesiones!$F:$F,Sesiones!$C:$C,A167,Sesiones!$G:$G,"USD")-SUMIFS(Pagos!$H:$H,Pagos!$D:$D,A167,Pagos!$I:$I,"USD"))</f>
        <v/>
      </c>
      <c r="T167" s="12" t="str">
        <f aca="false">IF(A167="","",SUMIFS(Pagos!$H:$H,Pagos!$D:$D,A167,Pagos!$I:$I,"ARS"))</f>
        <v/>
      </c>
      <c r="U167" s="13" t="str">
        <f aca="false">IF(A167="","",SUMIFS(Pagos!$H:$H,Pagos!$D:$D,A167,Pagos!$I:$I,"USD"))</f>
        <v/>
      </c>
    </row>
    <row r="168" customFormat="false" ht="15" hidden="false" customHeight="false" outlineLevel="0" collapsed="false">
      <c r="A168" s="6"/>
      <c r="B168" s="6"/>
      <c r="C168" s="6"/>
      <c r="D168" s="7"/>
      <c r="E168" s="7"/>
      <c r="F168" s="6"/>
      <c r="G168" s="7"/>
      <c r="H168" s="6"/>
      <c r="I168" s="6"/>
      <c r="J168" s="6"/>
      <c r="K168" s="9"/>
      <c r="L168" s="6"/>
      <c r="M168" s="6"/>
      <c r="N168" s="10"/>
      <c r="O168" s="6"/>
      <c r="P168" s="6"/>
      <c r="Q168" s="11" t="str">
        <f aca="false">IF(A168="","",TRIM(B168&amp;" "&amp;C168))</f>
        <v/>
      </c>
      <c r="R168" s="12" t="str">
        <f aca="false">IF(A168="","",SUMIFS(Sesiones!$F:$F,Sesiones!$C:$C,A168,Sesiones!$G:$G,"ARS")-SUMIFS(Pagos!$H:$H,Pagos!$D:$D,A168,Pagos!$I:$I,"ARS"))</f>
        <v/>
      </c>
      <c r="S168" s="13" t="str">
        <f aca="false">IF(A168="","",SUMIFS(Sesiones!$F:$F,Sesiones!$C:$C,A168,Sesiones!$G:$G,"USD")-SUMIFS(Pagos!$H:$H,Pagos!$D:$D,A168,Pagos!$I:$I,"USD"))</f>
        <v/>
      </c>
      <c r="T168" s="12" t="str">
        <f aca="false">IF(A168="","",SUMIFS(Pagos!$H:$H,Pagos!$D:$D,A168,Pagos!$I:$I,"ARS"))</f>
        <v/>
      </c>
      <c r="U168" s="13" t="str">
        <f aca="false">IF(A168="","",SUMIFS(Pagos!$H:$H,Pagos!$D:$D,A168,Pagos!$I:$I,"USD"))</f>
        <v/>
      </c>
    </row>
    <row r="169" customFormat="false" ht="15" hidden="false" customHeight="false" outlineLevel="0" collapsed="false">
      <c r="A169" s="6"/>
      <c r="B169" s="6"/>
      <c r="C169" s="6"/>
      <c r="D169" s="7"/>
      <c r="E169" s="7"/>
      <c r="F169" s="6"/>
      <c r="G169" s="7"/>
      <c r="H169" s="6"/>
      <c r="I169" s="6"/>
      <c r="J169" s="6"/>
      <c r="K169" s="9"/>
      <c r="L169" s="6"/>
      <c r="M169" s="6"/>
      <c r="N169" s="10"/>
      <c r="O169" s="6"/>
      <c r="P169" s="6"/>
      <c r="Q169" s="11" t="str">
        <f aca="false">IF(A169="","",TRIM(B169&amp;" "&amp;C169))</f>
        <v/>
      </c>
      <c r="R169" s="12" t="str">
        <f aca="false">IF(A169="","",SUMIFS(Sesiones!$F:$F,Sesiones!$C:$C,A169,Sesiones!$G:$G,"ARS")-SUMIFS(Pagos!$H:$H,Pagos!$D:$D,A169,Pagos!$I:$I,"ARS"))</f>
        <v/>
      </c>
      <c r="S169" s="13" t="str">
        <f aca="false">IF(A169="","",SUMIFS(Sesiones!$F:$F,Sesiones!$C:$C,A169,Sesiones!$G:$G,"USD")-SUMIFS(Pagos!$H:$H,Pagos!$D:$D,A169,Pagos!$I:$I,"USD"))</f>
        <v/>
      </c>
      <c r="T169" s="12" t="str">
        <f aca="false">IF(A169="","",SUMIFS(Pagos!$H:$H,Pagos!$D:$D,A169,Pagos!$I:$I,"ARS"))</f>
        <v/>
      </c>
      <c r="U169" s="13" t="str">
        <f aca="false">IF(A169="","",SUMIFS(Pagos!$H:$H,Pagos!$D:$D,A169,Pagos!$I:$I,"USD"))</f>
        <v/>
      </c>
    </row>
    <row r="170" customFormat="false" ht="15" hidden="false" customHeight="false" outlineLevel="0" collapsed="false">
      <c r="A170" s="6"/>
      <c r="B170" s="6"/>
      <c r="C170" s="6"/>
      <c r="D170" s="7"/>
      <c r="E170" s="7"/>
      <c r="F170" s="6"/>
      <c r="G170" s="7"/>
      <c r="H170" s="6"/>
      <c r="I170" s="6"/>
      <c r="J170" s="6"/>
      <c r="K170" s="9"/>
      <c r="L170" s="6"/>
      <c r="M170" s="6"/>
      <c r="N170" s="10"/>
      <c r="O170" s="6"/>
      <c r="P170" s="6"/>
      <c r="Q170" s="11" t="str">
        <f aca="false">IF(A170="","",TRIM(B170&amp;" "&amp;C170))</f>
        <v/>
      </c>
      <c r="R170" s="12" t="str">
        <f aca="false">IF(A170="","",SUMIFS(Sesiones!$F:$F,Sesiones!$C:$C,A170,Sesiones!$G:$G,"ARS")-SUMIFS(Pagos!$H:$H,Pagos!$D:$D,A170,Pagos!$I:$I,"ARS"))</f>
        <v/>
      </c>
      <c r="S170" s="13" t="str">
        <f aca="false">IF(A170="","",SUMIFS(Sesiones!$F:$F,Sesiones!$C:$C,A170,Sesiones!$G:$G,"USD")-SUMIFS(Pagos!$H:$H,Pagos!$D:$D,A170,Pagos!$I:$I,"USD"))</f>
        <v/>
      </c>
      <c r="T170" s="12" t="str">
        <f aca="false">IF(A170="","",SUMIFS(Pagos!$H:$H,Pagos!$D:$D,A170,Pagos!$I:$I,"ARS"))</f>
        <v/>
      </c>
      <c r="U170" s="13" t="str">
        <f aca="false">IF(A170="","",SUMIFS(Pagos!$H:$H,Pagos!$D:$D,A170,Pagos!$I:$I,"USD"))</f>
        <v/>
      </c>
    </row>
    <row r="171" customFormat="false" ht="15" hidden="false" customHeight="false" outlineLevel="0" collapsed="false">
      <c r="A171" s="6"/>
      <c r="B171" s="6"/>
      <c r="C171" s="6"/>
      <c r="D171" s="7"/>
      <c r="E171" s="7"/>
      <c r="F171" s="6"/>
      <c r="G171" s="7"/>
      <c r="H171" s="6"/>
      <c r="I171" s="6"/>
      <c r="J171" s="6"/>
      <c r="K171" s="9"/>
      <c r="L171" s="6"/>
      <c r="M171" s="6"/>
      <c r="N171" s="10"/>
      <c r="O171" s="6"/>
      <c r="P171" s="6"/>
      <c r="Q171" s="11" t="str">
        <f aca="false">IF(A171="","",TRIM(B171&amp;" "&amp;C171))</f>
        <v/>
      </c>
      <c r="R171" s="12" t="str">
        <f aca="false">IF(A171="","",SUMIFS(Sesiones!$F:$F,Sesiones!$C:$C,A171,Sesiones!$G:$G,"ARS")-SUMIFS(Pagos!$H:$H,Pagos!$D:$D,A171,Pagos!$I:$I,"ARS"))</f>
        <v/>
      </c>
      <c r="S171" s="13" t="str">
        <f aca="false">IF(A171="","",SUMIFS(Sesiones!$F:$F,Sesiones!$C:$C,A171,Sesiones!$G:$G,"USD")-SUMIFS(Pagos!$H:$H,Pagos!$D:$D,A171,Pagos!$I:$I,"USD"))</f>
        <v/>
      </c>
      <c r="T171" s="12" t="str">
        <f aca="false">IF(A171="","",SUMIFS(Pagos!$H:$H,Pagos!$D:$D,A171,Pagos!$I:$I,"ARS"))</f>
        <v/>
      </c>
      <c r="U171" s="13" t="str">
        <f aca="false">IF(A171="","",SUMIFS(Pagos!$H:$H,Pagos!$D:$D,A171,Pagos!$I:$I,"USD"))</f>
        <v/>
      </c>
    </row>
    <row r="172" customFormat="false" ht="15" hidden="false" customHeight="false" outlineLevel="0" collapsed="false">
      <c r="A172" s="6"/>
      <c r="B172" s="6"/>
      <c r="C172" s="6"/>
      <c r="D172" s="7"/>
      <c r="E172" s="7"/>
      <c r="F172" s="6"/>
      <c r="G172" s="7"/>
      <c r="H172" s="6"/>
      <c r="I172" s="6"/>
      <c r="J172" s="6"/>
      <c r="K172" s="9"/>
      <c r="L172" s="6"/>
      <c r="M172" s="6"/>
      <c r="N172" s="10"/>
      <c r="O172" s="6"/>
      <c r="P172" s="6"/>
      <c r="Q172" s="11" t="str">
        <f aca="false">IF(A172="","",TRIM(B172&amp;" "&amp;C172))</f>
        <v/>
      </c>
      <c r="R172" s="12" t="str">
        <f aca="false">IF(A172="","",SUMIFS(Sesiones!$F:$F,Sesiones!$C:$C,A172,Sesiones!$G:$G,"ARS")-SUMIFS(Pagos!$H:$H,Pagos!$D:$D,A172,Pagos!$I:$I,"ARS"))</f>
        <v/>
      </c>
      <c r="S172" s="13" t="str">
        <f aca="false">IF(A172="","",SUMIFS(Sesiones!$F:$F,Sesiones!$C:$C,A172,Sesiones!$G:$G,"USD")-SUMIFS(Pagos!$H:$H,Pagos!$D:$D,A172,Pagos!$I:$I,"USD"))</f>
        <v/>
      </c>
      <c r="T172" s="12" t="str">
        <f aca="false">IF(A172="","",SUMIFS(Pagos!$H:$H,Pagos!$D:$D,A172,Pagos!$I:$I,"ARS"))</f>
        <v/>
      </c>
      <c r="U172" s="13" t="str">
        <f aca="false">IF(A172="","",SUMIFS(Pagos!$H:$H,Pagos!$D:$D,A172,Pagos!$I:$I,"USD"))</f>
        <v/>
      </c>
    </row>
    <row r="173" customFormat="false" ht="15" hidden="false" customHeight="false" outlineLevel="0" collapsed="false">
      <c r="A173" s="6"/>
      <c r="B173" s="6"/>
      <c r="C173" s="6"/>
      <c r="D173" s="7"/>
      <c r="E173" s="7"/>
      <c r="F173" s="6"/>
      <c r="G173" s="7"/>
      <c r="H173" s="6"/>
      <c r="I173" s="6"/>
      <c r="J173" s="6"/>
      <c r="K173" s="9"/>
      <c r="L173" s="6"/>
      <c r="M173" s="6"/>
      <c r="N173" s="10"/>
      <c r="O173" s="6"/>
      <c r="P173" s="6"/>
      <c r="Q173" s="11" t="str">
        <f aca="false">IF(A173="","",TRIM(B173&amp;" "&amp;C173))</f>
        <v/>
      </c>
      <c r="R173" s="12" t="str">
        <f aca="false">IF(A173="","",SUMIFS(Sesiones!$F:$F,Sesiones!$C:$C,A173,Sesiones!$G:$G,"ARS")-SUMIFS(Pagos!$H:$H,Pagos!$D:$D,A173,Pagos!$I:$I,"ARS"))</f>
        <v/>
      </c>
      <c r="S173" s="13" t="str">
        <f aca="false">IF(A173="","",SUMIFS(Sesiones!$F:$F,Sesiones!$C:$C,A173,Sesiones!$G:$G,"USD")-SUMIFS(Pagos!$H:$H,Pagos!$D:$D,A173,Pagos!$I:$I,"USD"))</f>
        <v/>
      </c>
      <c r="T173" s="12" t="str">
        <f aca="false">IF(A173="","",SUMIFS(Pagos!$H:$H,Pagos!$D:$D,A173,Pagos!$I:$I,"ARS"))</f>
        <v/>
      </c>
      <c r="U173" s="13" t="str">
        <f aca="false">IF(A173="","",SUMIFS(Pagos!$H:$H,Pagos!$D:$D,A173,Pagos!$I:$I,"USD"))</f>
        <v/>
      </c>
    </row>
    <row r="174" customFormat="false" ht="15" hidden="false" customHeight="false" outlineLevel="0" collapsed="false">
      <c r="A174" s="6"/>
      <c r="B174" s="6"/>
      <c r="C174" s="6"/>
      <c r="D174" s="7"/>
      <c r="E174" s="7"/>
      <c r="F174" s="6"/>
      <c r="G174" s="7"/>
      <c r="H174" s="6"/>
      <c r="I174" s="6"/>
      <c r="J174" s="6"/>
      <c r="K174" s="9"/>
      <c r="L174" s="6"/>
      <c r="M174" s="6"/>
      <c r="N174" s="10"/>
      <c r="O174" s="6"/>
      <c r="P174" s="6"/>
      <c r="Q174" s="11" t="str">
        <f aca="false">IF(A174="","",TRIM(B174&amp;" "&amp;C174))</f>
        <v/>
      </c>
      <c r="R174" s="12" t="str">
        <f aca="false">IF(A174="","",SUMIFS(Sesiones!$F:$F,Sesiones!$C:$C,A174,Sesiones!$G:$G,"ARS")-SUMIFS(Pagos!$H:$H,Pagos!$D:$D,A174,Pagos!$I:$I,"ARS"))</f>
        <v/>
      </c>
      <c r="S174" s="13" t="str">
        <f aca="false">IF(A174="","",SUMIFS(Sesiones!$F:$F,Sesiones!$C:$C,A174,Sesiones!$G:$G,"USD")-SUMIFS(Pagos!$H:$H,Pagos!$D:$D,A174,Pagos!$I:$I,"USD"))</f>
        <v/>
      </c>
      <c r="T174" s="12" t="str">
        <f aca="false">IF(A174="","",SUMIFS(Pagos!$H:$H,Pagos!$D:$D,A174,Pagos!$I:$I,"ARS"))</f>
        <v/>
      </c>
      <c r="U174" s="13" t="str">
        <f aca="false">IF(A174="","",SUMIFS(Pagos!$H:$H,Pagos!$D:$D,A174,Pagos!$I:$I,"USD"))</f>
        <v/>
      </c>
    </row>
    <row r="175" customFormat="false" ht="15" hidden="false" customHeight="false" outlineLevel="0" collapsed="false">
      <c r="A175" s="6"/>
      <c r="B175" s="6"/>
      <c r="C175" s="6"/>
      <c r="D175" s="7"/>
      <c r="E175" s="7"/>
      <c r="F175" s="6"/>
      <c r="G175" s="7"/>
      <c r="H175" s="6"/>
      <c r="I175" s="6"/>
      <c r="J175" s="6"/>
      <c r="K175" s="9"/>
      <c r="L175" s="6"/>
      <c r="M175" s="6"/>
      <c r="N175" s="10"/>
      <c r="O175" s="6"/>
      <c r="P175" s="6"/>
      <c r="Q175" s="11" t="str">
        <f aca="false">IF(A175="","",TRIM(B175&amp;" "&amp;C175))</f>
        <v/>
      </c>
      <c r="R175" s="12" t="str">
        <f aca="false">IF(A175="","",SUMIFS(Sesiones!$F:$F,Sesiones!$C:$C,A175,Sesiones!$G:$G,"ARS")-SUMIFS(Pagos!$H:$H,Pagos!$D:$D,A175,Pagos!$I:$I,"ARS"))</f>
        <v/>
      </c>
      <c r="S175" s="13" t="str">
        <f aca="false">IF(A175="","",SUMIFS(Sesiones!$F:$F,Sesiones!$C:$C,A175,Sesiones!$G:$G,"USD")-SUMIFS(Pagos!$H:$H,Pagos!$D:$D,A175,Pagos!$I:$I,"USD"))</f>
        <v/>
      </c>
      <c r="T175" s="12" t="str">
        <f aca="false">IF(A175="","",SUMIFS(Pagos!$H:$H,Pagos!$D:$D,A175,Pagos!$I:$I,"ARS"))</f>
        <v/>
      </c>
      <c r="U175" s="13" t="str">
        <f aca="false">IF(A175="","",SUMIFS(Pagos!$H:$H,Pagos!$D:$D,A175,Pagos!$I:$I,"USD"))</f>
        <v/>
      </c>
    </row>
    <row r="176" customFormat="false" ht="15" hidden="false" customHeight="false" outlineLevel="0" collapsed="false">
      <c r="A176" s="6"/>
      <c r="B176" s="6"/>
      <c r="C176" s="6"/>
      <c r="D176" s="7"/>
      <c r="E176" s="7"/>
      <c r="F176" s="6"/>
      <c r="G176" s="7"/>
      <c r="H176" s="6"/>
      <c r="I176" s="6"/>
      <c r="J176" s="6"/>
      <c r="K176" s="9"/>
      <c r="L176" s="6"/>
      <c r="M176" s="6"/>
      <c r="N176" s="10"/>
      <c r="O176" s="6"/>
      <c r="P176" s="6"/>
      <c r="Q176" s="11" t="str">
        <f aca="false">IF(A176="","",TRIM(B176&amp;" "&amp;C176))</f>
        <v/>
      </c>
      <c r="R176" s="12" t="str">
        <f aca="false">IF(A176="","",SUMIFS(Sesiones!$F:$F,Sesiones!$C:$C,A176,Sesiones!$G:$G,"ARS")-SUMIFS(Pagos!$H:$H,Pagos!$D:$D,A176,Pagos!$I:$I,"ARS"))</f>
        <v/>
      </c>
      <c r="S176" s="13" t="str">
        <f aca="false">IF(A176="","",SUMIFS(Sesiones!$F:$F,Sesiones!$C:$C,A176,Sesiones!$G:$G,"USD")-SUMIFS(Pagos!$H:$H,Pagos!$D:$D,A176,Pagos!$I:$I,"USD"))</f>
        <v/>
      </c>
      <c r="T176" s="12" t="str">
        <f aca="false">IF(A176="","",SUMIFS(Pagos!$H:$H,Pagos!$D:$D,A176,Pagos!$I:$I,"ARS"))</f>
        <v/>
      </c>
      <c r="U176" s="13" t="str">
        <f aca="false">IF(A176="","",SUMIFS(Pagos!$H:$H,Pagos!$D:$D,A176,Pagos!$I:$I,"USD"))</f>
        <v/>
      </c>
    </row>
    <row r="177" customFormat="false" ht="15" hidden="false" customHeight="false" outlineLevel="0" collapsed="false">
      <c r="A177" s="6"/>
      <c r="B177" s="6"/>
      <c r="C177" s="6"/>
      <c r="D177" s="7"/>
      <c r="E177" s="7"/>
      <c r="F177" s="6"/>
      <c r="G177" s="7"/>
      <c r="H177" s="6"/>
      <c r="I177" s="6"/>
      <c r="J177" s="6"/>
      <c r="K177" s="9"/>
      <c r="L177" s="6"/>
      <c r="M177" s="6"/>
      <c r="N177" s="10"/>
      <c r="O177" s="6"/>
      <c r="P177" s="6"/>
      <c r="Q177" s="11" t="str">
        <f aca="false">IF(A177="","",TRIM(B177&amp;" "&amp;C177))</f>
        <v/>
      </c>
      <c r="R177" s="12" t="str">
        <f aca="false">IF(A177="","",SUMIFS(Sesiones!$F:$F,Sesiones!$C:$C,A177,Sesiones!$G:$G,"ARS")-SUMIFS(Pagos!$H:$H,Pagos!$D:$D,A177,Pagos!$I:$I,"ARS"))</f>
        <v/>
      </c>
      <c r="S177" s="13" t="str">
        <f aca="false">IF(A177="","",SUMIFS(Sesiones!$F:$F,Sesiones!$C:$C,A177,Sesiones!$G:$G,"USD")-SUMIFS(Pagos!$H:$H,Pagos!$D:$D,A177,Pagos!$I:$I,"USD"))</f>
        <v/>
      </c>
      <c r="T177" s="12" t="str">
        <f aca="false">IF(A177="","",SUMIFS(Pagos!$H:$H,Pagos!$D:$D,A177,Pagos!$I:$I,"ARS"))</f>
        <v/>
      </c>
      <c r="U177" s="13" t="str">
        <f aca="false">IF(A177="","",SUMIFS(Pagos!$H:$H,Pagos!$D:$D,A177,Pagos!$I:$I,"USD"))</f>
        <v/>
      </c>
    </row>
    <row r="178" customFormat="false" ht="15" hidden="false" customHeight="false" outlineLevel="0" collapsed="false">
      <c r="A178" s="6"/>
      <c r="B178" s="6"/>
      <c r="C178" s="6"/>
      <c r="D178" s="7"/>
      <c r="E178" s="7"/>
      <c r="F178" s="6"/>
      <c r="G178" s="7"/>
      <c r="H178" s="6"/>
      <c r="I178" s="6"/>
      <c r="J178" s="6"/>
      <c r="K178" s="9"/>
      <c r="L178" s="6"/>
      <c r="M178" s="6"/>
      <c r="N178" s="10"/>
      <c r="O178" s="6"/>
      <c r="P178" s="6"/>
      <c r="Q178" s="11" t="str">
        <f aca="false">IF(A178="","",TRIM(B178&amp;" "&amp;C178))</f>
        <v/>
      </c>
      <c r="R178" s="12" t="str">
        <f aca="false">IF(A178="","",SUMIFS(Sesiones!$F:$F,Sesiones!$C:$C,A178,Sesiones!$G:$G,"ARS")-SUMIFS(Pagos!$H:$H,Pagos!$D:$D,A178,Pagos!$I:$I,"ARS"))</f>
        <v/>
      </c>
      <c r="S178" s="13" t="str">
        <f aca="false">IF(A178="","",SUMIFS(Sesiones!$F:$F,Sesiones!$C:$C,A178,Sesiones!$G:$G,"USD")-SUMIFS(Pagos!$H:$H,Pagos!$D:$D,A178,Pagos!$I:$I,"USD"))</f>
        <v/>
      </c>
      <c r="T178" s="12" t="str">
        <f aca="false">IF(A178="","",SUMIFS(Pagos!$H:$H,Pagos!$D:$D,A178,Pagos!$I:$I,"ARS"))</f>
        <v/>
      </c>
      <c r="U178" s="13" t="str">
        <f aca="false">IF(A178="","",SUMIFS(Pagos!$H:$H,Pagos!$D:$D,A178,Pagos!$I:$I,"USD"))</f>
        <v/>
      </c>
    </row>
    <row r="179" customFormat="false" ht="15" hidden="false" customHeight="false" outlineLevel="0" collapsed="false">
      <c r="A179" s="6"/>
      <c r="B179" s="6"/>
      <c r="C179" s="6"/>
      <c r="D179" s="7"/>
      <c r="E179" s="7"/>
      <c r="F179" s="6"/>
      <c r="G179" s="7"/>
      <c r="H179" s="6"/>
      <c r="I179" s="6"/>
      <c r="J179" s="6"/>
      <c r="K179" s="9"/>
      <c r="L179" s="6"/>
      <c r="M179" s="6"/>
      <c r="N179" s="10"/>
      <c r="O179" s="6"/>
      <c r="P179" s="6"/>
      <c r="Q179" s="11" t="str">
        <f aca="false">IF(A179="","",TRIM(B179&amp;" "&amp;C179))</f>
        <v/>
      </c>
      <c r="R179" s="12" t="str">
        <f aca="false">IF(A179="","",SUMIFS(Sesiones!$F:$F,Sesiones!$C:$C,A179,Sesiones!$G:$G,"ARS")-SUMIFS(Pagos!$H:$H,Pagos!$D:$D,A179,Pagos!$I:$I,"ARS"))</f>
        <v/>
      </c>
      <c r="S179" s="13" t="str">
        <f aca="false">IF(A179="","",SUMIFS(Sesiones!$F:$F,Sesiones!$C:$C,A179,Sesiones!$G:$G,"USD")-SUMIFS(Pagos!$H:$H,Pagos!$D:$D,A179,Pagos!$I:$I,"USD"))</f>
        <v/>
      </c>
      <c r="T179" s="12" t="str">
        <f aca="false">IF(A179="","",SUMIFS(Pagos!$H:$H,Pagos!$D:$D,A179,Pagos!$I:$I,"ARS"))</f>
        <v/>
      </c>
      <c r="U179" s="13" t="str">
        <f aca="false">IF(A179="","",SUMIFS(Pagos!$H:$H,Pagos!$D:$D,A179,Pagos!$I:$I,"USD"))</f>
        <v/>
      </c>
    </row>
    <row r="180" customFormat="false" ht="15" hidden="false" customHeight="false" outlineLevel="0" collapsed="false">
      <c r="A180" s="6"/>
      <c r="B180" s="6"/>
      <c r="C180" s="6"/>
      <c r="D180" s="7"/>
      <c r="E180" s="7"/>
      <c r="F180" s="6"/>
      <c r="G180" s="7"/>
      <c r="H180" s="6"/>
      <c r="I180" s="6"/>
      <c r="J180" s="6"/>
      <c r="K180" s="9"/>
      <c r="L180" s="6"/>
      <c r="M180" s="6"/>
      <c r="N180" s="10"/>
      <c r="O180" s="6"/>
      <c r="P180" s="6"/>
      <c r="Q180" s="11" t="str">
        <f aca="false">IF(A180="","",TRIM(B180&amp;" "&amp;C180))</f>
        <v/>
      </c>
      <c r="R180" s="12" t="str">
        <f aca="false">IF(A180="","",SUMIFS(Sesiones!$F:$F,Sesiones!$C:$C,A180,Sesiones!$G:$G,"ARS")-SUMIFS(Pagos!$H:$H,Pagos!$D:$D,A180,Pagos!$I:$I,"ARS"))</f>
        <v/>
      </c>
      <c r="S180" s="13" t="str">
        <f aca="false">IF(A180="","",SUMIFS(Sesiones!$F:$F,Sesiones!$C:$C,A180,Sesiones!$G:$G,"USD")-SUMIFS(Pagos!$H:$H,Pagos!$D:$D,A180,Pagos!$I:$I,"USD"))</f>
        <v/>
      </c>
      <c r="T180" s="12" t="str">
        <f aca="false">IF(A180="","",SUMIFS(Pagos!$H:$H,Pagos!$D:$D,A180,Pagos!$I:$I,"ARS"))</f>
        <v/>
      </c>
      <c r="U180" s="13" t="str">
        <f aca="false">IF(A180="","",SUMIFS(Pagos!$H:$H,Pagos!$D:$D,A180,Pagos!$I:$I,"USD"))</f>
        <v/>
      </c>
    </row>
    <row r="181" customFormat="false" ht="15" hidden="false" customHeight="false" outlineLevel="0" collapsed="false">
      <c r="A181" s="6"/>
      <c r="B181" s="6"/>
      <c r="C181" s="6"/>
      <c r="D181" s="7"/>
      <c r="E181" s="7"/>
      <c r="F181" s="6"/>
      <c r="G181" s="7"/>
      <c r="H181" s="6"/>
      <c r="I181" s="6"/>
      <c r="J181" s="6"/>
      <c r="K181" s="9"/>
      <c r="L181" s="6"/>
      <c r="M181" s="6"/>
      <c r="N181" s="10"/>
      <c r="O181" s="6"/>
      <c r="P181" s="6"/>
      <c r="Q181" s="11" t="str">
        <f aca="false">IF(A181="","",TRIM(B181&amp;" "&amp;C181))</f>
        <v/>
      </c>
      <c r="R181" s="12" t="str">
        <f aca="false">IF(A181="","",SUMIFS(Sesiones!$F:$F,Sesiones!$C:$C,A181,Sesiones!$G:$G,"ARS")-SUMIFS(Pagos!$H:$H,Pagos!$D:$D,A181,Pagos!$I:$I,"ARS"))</f>
        <v/>
      </c>
      <c r="S181" s="13" t="str">
        <f aca="false">IF(A181="","",SUMIFS(Sesiones!$F:$F,Sesiones!$C:$C,A181,Sesiones!$G:$G,"USD")-SUMIFS(Pagos!$H:$H,Pagos!$D:$D,A181,Pagos!$I:$I,"USD"))</f>
        <v/>
      </c>
      <c r="T181" s="12" t="str">
        <f aca="false">IF(A181="","",SUMIFS(Pagos!$H:$H,Pagos!$D:$D,A181,Pagos!$I:$I,"ARS"))</f>
        <v/>
      </c>
      <c r="U181" s="13" t="str">
        <f aca="false">IF(A181="","",SUMIFS(Pagos!$H:$H,Pagos!$D:$D,A181,Pagos!$I:$I,"USD"))</f>
        <v/>
      </c>
    </row>
    <row r="182" customFormat="false" ht="15" hidden="false" customHeight="false" outlineLevel="0" collapsed="false">
      <c r="A182" s="6"/>
      <c r="B182" s="6"/>
      <c r="C182" s="6"/>
      <c r="D182" s="7"/>
      <c r="E182" s="7"/>
      <c r="F182" s="6"/>
      <c r="G182" s="7"/>
      <c r="H182" s="6"/>
      <c r="I182" s="6"/>
      <c r="J182" s="6"/>
      <c r="K182" s="9"/>
      <c r="L182" s="6"/>
      <c r="M182" s="6"/>
      <c r="N182" s="10"/>
      <c r="O182" s="6"/>
      <c r="P182" s="6"/>
      <c r="Q182" s="11" t="str">
        <f aca="false">IF(A182="","",TRIM(B182&amp;" "&amp;C182))</f>
        <v/>
      </c>
      <c r="R182" s="12" t="str">
        <f aca="false">IF(A182="","",SUMIFS(Sesiones!$F:$F,Sesiones!$C:$C,A182,Sesiones!$G:$G,"ARS")-SUMIFS(Pagos!$H:$H,Pagos!$D:$D,A182,Pagos!$I:$I,"ARS"))</f>
        <v/>
      </c>
      <c r="S182" s="13" t="str">
        <f aca="false">IF(A182="","",SUMIFS(Sesiones!$F:$F,Sesiones!$C:$C,A182,Sesiones!$G:$G,"USD")-SUMIFS(Pagos!$H:$H,Pagos!$D:$D,A182,Pagos!$I:$I,"USD"))</f>
        <v/>
      </c>
      <c r="T182" s="12" t="str">
        <f aca="false">IF(A182="","",SUMIFS(Pagos!$H:$H,Pagos!$D:$D,A182,Pagos!$I:$I,"ARS"))</f>
        <v/>
      </c>
      <c r="U182" s="13" t="str">
        <f aca="false">IF(A182="","",SUMIFS(Pagos!$H:$H,Pagos!$D:$D,A182,Pagos!$I:$I,"USD"))</f>
        <v/>
      </c>
    </row>
    <row r="183" customFormat="false" ht="15" hidden="false" customHeight="false" outlineLevel="0" collapsed="false">
      <c r="A183" s="6"/>
      <c r="B183" s="6"/>
      <c r="C183" s="6"/>
      <c r="D183" s="7"/>
      <c r="E183" s="7"/>
      <c r="F183" s="6"/>
      <c r="G183" s="7"/>
      <c r="H183" s="6"/>
      <c r="I183" s="6"/>
      <c r="J183" s="6"/>
      <c r="K183" s="9"/>
      <c r="L183" s="6"/>
      <c r="M183" s="6"/>
      <c r="N183" s="10"/>
      <c r="O183" s="6"/>
      <c r="P183" s="6"/>
      <c r="Q183" s="11" t="str">
        <f aca="false">IF(A183="","",TRIM(B183&amp;" "&amp;C183))</f>
        <v/>
      </c>
      <c r="R183" s="12" t="str">
        <f aca="false">IF(A183="","",SUMIFS(Sesiones!$F:$F,Sesiones!$C:$C,A183,Sesiones!$G:$G,"ARS")-SUMIFS(Pagos!$H:$H,Pagos!$D:$D,A183,Pagos!$I:$I,"ARS"))</f>
        <v/>
      </c>
      <c r="S183" s="13" t="str">
        <f aca="false">IF(A183="","",SUMIFS(Sesiones!$F:$F,Sesiones!$C:$C,A183,Sesiones!$G:$G,"USD")-SUMIFS(Pagos!$H:$H,Pagos!$D:$D,A183,Pagos!$I:$I,"USD"))</f>
        <v/>
      </c>
      <c r="T183" s="12" t="str">
        <f aca="false">IF(A183="","",SUMIFS(Pagos!$H:$H,Pagos!$D:$D,A183,Pagos!$I:$I,"ARS"))</f>
        <v/>
      </c>
      <c r="U183" s="13" t="str">
        <f aca="false">IF(A183="","",SUMIFS(Pagos!$H:$H,Pagos!$D:$D,A183,Pagos!$I:$I,"USD"))</f>
        <v/>
      </c>
    </row>
    <row r="184" customFormat="false" ht="15" hidden="false" customHeight="false" outlineLevel="0" collapsed="false">
      <c r="A184" s="6"/>
      <c r="B184" s="6"/>
      <c r="C184" s="6"/>
      <c r="D184" s="7"/>
      <c r="E184" s="7"/>
      <c r="F184" s="6"/>
      <c r="G184" s="7"/>
      <c r="H184" s="6"/>
      <c r="I184" s="6"/>
      <c r="J184" s="6"/>
      <c r="K184" s="9"/>
      <c r="L184" s="6"/>
      <c r="M184" s="6"/>
      <c r="N184" s="10"/>
      <c r="O184" s="6"/>
      <c r="P184" s="6"/>
      <c r="Q184" s="11" t="str">
        <f aca="false">IF(A184="","",TRIM(B184&amp;" "&amp;C184))</f>
        <v/>
      </c>
      <c r="R184" s="12" t="str">
        <f aca="false">IF(A184="","",SUMIFS(Sesiones!$F:$F,Sesiones!$C:$C,A184,Sesiones!$G:$G,"ARS")-SUMIFS(Pagos!$H:$H,Pagos!$D:$D,A184,Pagos!$I:$I,"ARS"))</f>
        <v/>
      </c>
      <c r="S184" s="13" t="str">
        <f aca="false">IF(A184="","",SUMIFS(Sesiones!$F:$F,Sesiones!$C:$C,A184,Sesiones!$G:$G,"USD")-SUMIFS(Pagos!$H:$H,Pagos!$D:$D,A184,Pagos!$I:$I,"USD"))</f>
        <v/>
      </c>
      <c r="T184" s="12" t="str">
        <f aca="false">IF(A184="","",SUMIFS(Pagos!$H:$H,Pagos!$D:$D,A184,Pagos!$I:$I,"ARS"))</f>
        <v/>
      </c>
      <c r="U184" s="13" t="str">
        <f aca="false">IF(A184="","",SUMIFS(Pagos!$H:$H,Pagos!$D:$D,A184,Pagos!$I:$I,"USD"))</f>
        <v/>
      </c>
    </row>
    <row r="185" customFormat="false" ht="15" hidden="false" customHeight="false" outlineLevel="0" collapsed="false">
      <c r="A185" s="6"/>
      <c r="B185" s="6"/>
      <c r="C185" s="6"/>
      <c r="D185" s="7"/>
      <c r="E185" s="7"/>
      <c r="F185" s="6"/>
      <c r="G185" s="7"/>
      <c r="H185" s="6"/>
      <c r="I185" s="6"/>
      <c r="J185" s="6"/>
      <c r="K185" s="9"/>
      <c r="L185" s="6"/>
      <c r="M185" s="6"/>
      <c r="N185" s="10"/>
      <c r="O185" s="6"/>
      <c r="P185" s="6"/>
      <c r="Q185" s="11" t="str">
        <f aca="false">IF(A185="","",TRIM(B185&amp;" "&amp;C185))</f>
        <v/>
      </c>
      <c r="R185" s="12" t="str">
        <f aca="false">IF(A185="","",SUMIFS(Sesiones!$F:$F,Sesiones!$C:$C,A185,Sesiones!$G:$G,"ARS")-SUMIFS(Pagos!$H:$H,Pagos!$D:$D,A185,Pagos!$I:$I,"ARS"))</f>
        <v/>
      </c>
      <c r="S185" s="13" t="str">
        <f aca="false">IF(A185="","",SUMIFS(Sesiones!$F:$F,Sesiones!$C:$C,A185,Sesiones!$G:$G,"USD")-SUMIFS(Pagos!$H:$H,Pagos!$D:$D,A185,Pagos!$I:$I,"USD"))</f>
        <v/>
      </c>
      <c r="T185" s="12" t="str">
        <f aca="false">IF(A185="","",SUMIFS(Pagos!$H:$H,Pagos!$D:$D,A185,Pagos!$I:$I,"ARS"))</f>
        <v/>
      </c>
      <c r="U185" s="13" t="str">
        <f aca="false">IF(A185="","",SUMIFS(Pagos!$H:$H,Pagos!$D:$D,A185,Pagos!$I:$I,"USD"))</f>
        <v/>
      </c>
    </row>
    <row r="186" customFormat="false" ht="15" hidden="false" customHeight="false" outlineLevel="0" collapsed="false">
      <c r="A186" s="6"/>
      <c r="B186" s="6"/>
      <c r="C186" s="6"/>
      <c r="D186" s="7"/>
      <c r="E186" s="7"/>
      <c r="F186" s="6"/>
      <c r="G186" s="7"/>
      <c r="H186" s="6"/>
      <c r="I186" s="6"/>
      <c r="J186" s="6"/>
      <c r="K186" s="9"/>
      <c r="L186" s="6"/>
      <c r="M186" s="6"/>
      <c r="N186" s="10"/>
      <c r="O186" s="6"/>
      <c r="P186" s="6"/>
      <c r="Q186" s="11" t="str">
        <f aca="false">IF(A186="","",TRIM(B186&amp;" "&amp;C186))</f>
        <v/>
      </c>
      <c r="R186" s="12" t="str">
        <f aca="false">IF(A186="","",SUMIFS(Sesiones!$F:$F,Sesiones!$C:$C,A186,Sesiones!$G:$G,"ARS")-SUMIFS(Pagos!$H:$H,Pagos!$D:$D,A186,Pagos!$I:$I,"ARS"))</f>
        <v/>
      </c>
      <c r="S186" s="13" t="str">
        <f aca="false">IF(A186="","",SUMIFS(Sesiones!$F:$F,Sesiones!$C:$C,A186,Sesiones!$G:$G,"USD")-SUMIFS(Pagos!$H:$H,Pagos!$D:$D,A186,Pagos!$I:$I,"USD"))</f>
        <v/>
      </c>
      <c r="T186" s="12" t="str">
        <f aca="false">IF(A186="","",SUMIFS(Pagos!$H:$H,Pagos!$D:$D,A186,Pagos!$I:$I,"ARS"))</f>
        <v/>
      </c>
      <c r="U186" s="13" t="str">
        <f aca="false">IF(A186="","",SUMIFS(Pagos!$H:$H,Pagos!$D:$D,A186,Pagos!$I:$I,"USD"))</f>
        <v/>
      </c>
    </row>
    <row r="187" customFormat="false" ht="15" hidden="false" customHeight="false" outlineLevel="0" collapsed="false">
      <c r="A187" s="6"/>
      <c r="B187" s="6"/>
      <c r="C187" s="6"/>
      <c r="D187" s="7"/>
      <c r="E187" s="7"/>
      <c r="F187" s="6"/>
      <c r="G187" s="7"/>
      <c r="H187" s="6"/>
      <c r="I187" s="6"/>
      <c r="J187" s="6"/>
      <c r="K187" s="9"/>
      <c r="L187" s="6"/>
      <c r="M187" s="6"/>
      <c r="N187" s="10"/>
      <c r="O187" s="6"/>
      <c r="P187" s="6"/>
      <c r="Q187" s="11" t="str">
        <f aca="false">IF(A187="","",TRIM(B187&amp;" "&amp;C187))</f>
        <v/>
      </c>
      <c r="R187" s="12" t="str">
        <f aca="false">IF(A187="","",SUMIFS(Sesiones!$F:$F,Sesiones!$C:$C,A187,Sesiones!$G:$G,"ARS")-SUMIFS(Pagos!$H:$H,Pagos!$D:$D,A187,Pagos!$I:$I,"ARS"))</f>
        <v/>
      </c>
      <c r="S187" s="13" t="str">
        <f aca="false">IF(A187="","",SUMIFS(Sesiones!$F:$F,Sesiones!$C:$C,A187,Sesiones!$G:$G,"USD")-SUMIFS(Pagos!$H:$H,Pagos!$D:$D,A187,Pagos!$I:$I,"USD"))</f>
        <v/>
      </c>
      <c r="T187" s="12" t="str">
        <f aca="false">IF(A187="","",SUMIFS(Pagos!$H:$H,Pagos!$D:$D,A187,Pagos!$I:$I,"ARS"))</f>
        <v/>
      </c>
      <c r="U187" s="13" t="str">
        <f aca="false">IF(A187="","",SUMIFS(Pagos!$H:$H,Pagos!$D:$D,A187,Pagos!$I:$I,"USD"))</f>
        <v/>
      </c>
    </row>
    <row r="188" customFormat="false" ht="15" hidden="false" customHeight="false" outlineLevel="0" collapsed="false">
      <c r="A188" s="6"/>
      <c r="B188" s="6"/>
      <c r="C188" s="6"/>
      <c r="D188" s="7"/>
      <c r="E188" s="7"/>
      <c r="F188" s="6"/>
      <c r="G188" s="7"/>
      <c r="H188" s="6"/>
      <c r="I188" s="6"/>
      <c r="J188" s="6"/>
      <c r="K188" s="9"/>
      <c r="L188" s="6"/>
      <c r="M188" s="6"/>
      <c r="N188" s="10"/>
      <c r="O188" s="6"/>
      <c r="P188" s="6"/>
      <c r="Q188" s="11" t="str">
        <f aca="false">IF(A188="","",TRIM(B188&amp;" "&amp;C188))</f>
        <v/>
      </c>
      <c r="R188" s="12" t="str">
        <f aca="false">IF(A188="","",SUMIFS(Sesiones!$F:$F,Sesiones!$C:$C,A188,Sesiones!$G:$G,"ARS")-SUMIFS(Pagos!$H:$H,Pagos!$D:$D,A188,Pagos!$I:$I,"ARS"))</f>
        <v/>
      </c>
      <c r="S188" s="13" t="str">
        <f aca="false">IF(A188="","",SUMIFS(Sesiones!$F:$F,Sesiones!$C:$C,A188,Sesiones!$G:$G,"USD")-SUMIFS(Pagos!$H:$H,Pagos!$D:$D,A188,Pagos!$I:$I,"USD"))</f>
        <v/>
      </c>
      <c r="T188" s="12" t="str">
        <f aca="false">IF(A188="","",SUMIFS(Pagos!$H:$H,Pagos!$D:$D,A188,Pagos!$I:$I,"ARS"))</f>
        <v/>
      </c>
      <c r="U188" s="13" t="str">
        <f aca="false">IF(A188="","",SUMIFS(Pagos!$H:$H,Pagos!$D:$D,A188,Pagos!$I:$I,"USD"))</f>
        <v/>
      </c>
    </row>
    <row r="189" customFormat="false" ht="15" hidden="false" customHeight="false" outlineLevel="0" collapsed="false">
      <c r="A189" s="6"/>
      <c r="B189" s="6"/>
      <c r="C189" s="6"/>
      <c r="D189" s="7"/>
      <c r="E189" s="7"/>
      <c r="F189" s="6"/>
      <c r="G189" s="7"/>
      <c r="H189" s="6"/>
      <c r="I189" s="6"/>
      <c r="J189" s="6"/>
      <c r="K189" s="9"/>
      <c r="L189" s="6"/>
      <c r="M189" s="6"/>
      <c r="N189" s="10"/>
      <c r="O189" s="6"/>
      <c r="P189" s="6"/>
      <c r="Q189" s="11" t="str">
        <f aca="false">IF(A189="","",TRIM(B189&amp;" "&amp;C189))</f>
        <v/>
      </c>
      <c r="R189" s="12" t="str">
        <f aca="false">IF(A189="","",SUMIFS(Sesiones!$F:$F,Sesiones!$C:$C,A189,Sesiones!$G:$G,"ARS")-SUMIFS(Pagos!$H:$H,Pagos!$D:$D,A189,Pagos!$I:$I,"ARS"))</f>
        <v/>
      </c>
      <c r="S189" s="13" t="str">
        <f aca="false">IF(A189="","",SUMIFS(Sesiones!$F:$F,Sesiones!$C:$C,A189,Sesiones!$G:$G,"USD")-SUMIFS(Pagos!$H:$H,Pagos!$D:$D,A189,Pagos!$I:$I,"USD"))</f>
        <v/>
      </c>
      <c r="T189" s="12" t="str">
        <f aca="false">IF(A189="","",SUMIFS(Pagos!$H:$H,Pagos!$D:$D,A189,Pagos!$I:$I,"ARS"))</f>
        <v/>
      </c>
      <c r="U189" s="13" t="str">
        <f aca="false">IF(A189="","",SUMIFS(Pagos!$H:$H,Pagos!$D:$D,A189,Pagos!$I:$I,"USD"))</f>
        <v/>
      </c>
    </row>
    <row r="190" customFormat="false" ht="15" hidden="false" customHeight="false" outlineLevel="0" collapsed="false">
      <c r="A190" s="6"/>
      <c r="B190" s="6"/>
      <c r="C190" s="6"/>
      <c r="D190" s="7"/>
      <c r="E190" s="7"/>
      <c r="F190" s="6"/>
      <c r="G190" s="7"/>
      <c r="H190" s="6"/>
      <c r="I190" s="6"/>
      <c r="J190" s="6"/>
      <c r="K190" s="9"/>
      <c r="L190" s="6"/>
      <c r="M190" s="6"/>
      <c r="N190" s="10"/>
      <c r="O190" s="6"/>
      <c r="P190" s="6"/>
      <c r="Q190" s="11" t="str">
        <f aca="false">IF(A190="","",TRIM(B190&amp;" "&amp;C190))</f>
        <v/>
      </c>
      <c r="R190" s="12" t="str">
        <f aca="false">IF(A190="","",SUMIFS(Sesiones!$F:$F,Sesiones!$C:$C,A190,Sesiones!$G:$G,"ARS")-SUMIFS(Pagos!$H:$H,Pagos!$D:$D,A190,Pagos!$I:$I,"ARS"))</f>
        <v/>
      </c>
      <c r="S190" s="13" t="str">
        <f aca="false">IF(A190="","",SUMIFS(Sesiones!$F:$F,Sesiones!$C:$C,A190,Sesiones!$G:$G,"USD")-SUMIFS(Pagos!$H:$H,Pagos!$D:$D,A190,Pagos!$I:$I,"USD"))</f>
        <v/>
      </c>
      <c r="T190" s="12" t="str">
        <f aca="false">IF(A190="","",SUMIFS(Pagos!$H:$H,Pagos!$D:$D,A190,Pagos!$I:$I,"ARS"))</f>
        <v/>
      </c>
      <c r="U190" s="13" t="str">
        <f aca="false">IF(A190="","",SUMIFS(Pagos!$H:$H,Pagos!$D:$D,A190,Pagos!$I:$I,"USD"))</f>
        <v/>
      </c>
    </row>
    <row r="191" customFormat="false" ht="15" hidden="false" customHeight="false" outlineLevel="0" collapsed="false">
      <c r="A191" s="6"/>
      <c r="B191" s="6"/>
      <c r="C191" s="6"/>
      <c r="D191" s="7"/>
      <c r="E191" s="7"/>
      <c r="F191" s="6"/>
      <c r="G191" s="7"/>
      <c r="H191" s="6"/>
      <c r="I191" s="6"/>
      <c r="J191" s="6"/>
      <c r="K191" s="9"/>
      <c r="L191" s="6"/>
      <c r="M191" s="6"/>
      <c r="N191" s="10"/>
      <c r="O191" s="6"/>
      <c r="P191" s="6"/>
      <c r="Q191" s="11" t="str">
        <f aca="false">IF(A191="","",TRIM(B191&amp;" "&amp;C191))</f>
        <v/>
      </c>
      <c r="R191" s="12" t="str">
        <f aca="false">IF(A191="","",SUMIFS(Sesiones!$F:$F,Sesiones!$C:$C,A191,Sesiones!$G:$G,"ARS")-SUMIFS(Pagos!$H:$H,Pagos!$D:$D,A191,Pagos!$I:$I,"ARS"))</f>
        <v/>
      </c>
      <c r="S191" s="13" t="str">
        <f aca="false">IF(A191="","",SUMIFS(Sesiones!$F:$F,Sesiones!$C:$C,A191,Sesiones!$G:$G,"USD")-SUMIFS(Pagos!$H:$H,Pagos!$D:$D,A191,Pagos!$I:$I,"USD"))</f>
        <v/>
      </c>
      <c r="T191" s="12" t="str">
        <f aca="false">IF(A191="","",SUMIFS(Pagos!$H:$H,Pagos!$D:$D,A191,Pagos!$I:$I,"ARS"))</f>
        <v/>
      </c>
      <c r="U191" s="13" t="str">
        <f aca="false">IF(A191="","",SUMIFS(Pagos!$H:$H,Pagos!$D:$D,A191,Pagos!$I:$I,"USD"))</f>
        <v/>
      </c>
    </row>
    <row r="192" customFormat="false" ht="15" hidden="false" customHeight="false" outlineLevel="0" collapsed="false">
      <c r="A192" s="6"/>
      <c r="B192" s="6"/>
      <c r="C192" s="6"/>
      <c r="D192" s="7"/>
      <c r="E192" s="7"/>
      <c r="F192" s="6"/>
      <c r="G192" s="7"/>
      <c r="H192" s="6"/>
      <c r="I192" s="6"/>
      <c r="J192" s="6"/>
      <c r="K192" s="9"/>
      <c r="L192" s="6"/>
      <c r="M192" s="6"/>
      <c r="N192" s="10"/>
      <c r="O192" s="6"/>
      <c r="P192" s="6"/>
      <c r="Q192" s="11" t="str">
        <f aca="false">IF(A192="","",TRIM(B192&amp;" "&amp;C192))</f>
        <v/>
      </c>
      <c r="R192" s="12" t="str">
        <f aca="false">IF(A192="","",SUMIFS(Sesiones!$F:$F,Sesiones!$C:$C,A192,Sesiones!$G:$G,"ARS")-SUMIFS(Pagos!$H:$H,Pagos!$D:$D,A192,Pagos!$I:$I,"ARS"))</f>
        <v/>
      </c>
      <c r="S192" s="13" t="str">
        <f aca="false">IF(A192="","",SUMIFS(Sesiones!$F:$F,Sesiones!$C:$C,A192,Sesiones!$G:$G,"USD")-SUMIFS(Pagos!$H:$H,Pagos!$D:$D,A192,Pagos!$I:$I,"USD"))</f>
        <v/>
      </c>
      <c r="T192" s="12" t="str">
        <f aca="false">IF(A192="","",SUMIFS(Pagos!$H:$H,Pagos!$D:$D,A192,Pagos!$I:$I,"ARS"))</f>
        <v/>
      </c>
      <c r="U192" s="13" t="str">
        <f aca="false">IF(A192="","",SUMIFS(Pagos!$H:$H,Pagos!$D:$D,A192,Pagos!$I:$I,"USD"))</f>
        <v/>
      </c>
    </row>
    <row r="193" customFormat="false" ht="15" hidden="false" customHeight="false" outlineLevel="0" collapsed="false">
      <c r="A193" s="6"/>
      <c r="B193" s="6"/>
      <c r="C193" s="6"/>
      <c r="D193" s="7"/>
      <c r="E193" s="7"/>
      <c r="F193" s="6"/>
      <c r="G193" s="7"/>
      <c r="H193" s="6"/>
      <c r="I193" s="6"/>
      <c r="J193" s="6"/>
      <c r="K193" s="9"/>
      <c r="L193" s="6"/>
      <c r="M193" s="6"/>
      <c r="N193" s="10"/>
      <c r="O193" s="6"/>
      <c r="P193" s="6"/>
      <c r="Q193" s="11" t="str">
        <f aca="false">IF(A193="","",TRIM(B193&amp;" "&amp;C193))</f>
        <v/>
      </c>
      <c r="R193" s="12" t="str">
        <f aca="false">IF(A193="","",SUMIFS(Sesiones!$F:$F,Sesiones!$C:$C,A193,Sesiones!$G:$G,"ARS")-SUMIFS(Pagos!$H:$H,Pagos!$D:$D,A193,Pagos!$I:$I,"ARS"))</f>
        <v/>
      </c>
      <c r="S193" s="13" t="str">
        <f aca="false">IF(A193="","",SUMIFS(Sesiones!$F:$F,Sesiones!$C:$C,A193,Sesiones!$G:$G,"USD")-SUMIFS(Pagos!$H:$H,Pagos!$D:$D,A193,Pagos!$I:$I,"USD"))</f>
        <v/>
      </c>
      <c r="T193" s="12" t="str">
        <f aca="false">IF(A193="","",SUMIFS(Pagos!$H:$H,Pagos!$D:$D,A193,Pagos!$I:$I,"ARS"))</f>
        <v/>
      </c>
      <c r="U193" s="13" t="str">
        <f aca="false">IF(A193="","",SUMIFS(Pagos!$H:$H,Pagos!$D:$D,A193,Pagos!$I:$I,"USD"))</f>
        <v/>
      </c>
    </row>
    <row r="194" customFormat="false" ht="15" hidden="false" customHeight="false" outlineLevel="0" collapsed="false">
      <c r="A194" s="6"/>
      <c r="B194" s="6"/>
      <c r="C194" s="6"/>
      <c r="D194" s="7"/>
      <c r="E194" s="7"/>
      <c r="F194" s="6"/>
      <c r="G194" s="7"/>
      <c r="H194" s="6"/>
      <c r="I194" s="6"/>
      <c r="J194" s="6"/>
      <c r="K194" s="9"/>
      <c r="L194" s="6"/>
      <c r="M194" s="6"/>
      <c r="N194" s="10"/>
      <c r="O194" s="6"/>
      <c r="P194" s="6"/>
      <c r="Q194" s="11" t="str">
        <f aca="false">IF(A194="","",TRIM(B194&amp;" "&amp;C194))</f>
        <v/>
      </c>
      <c r="R194" s="12" t="str">
        <f aca="false">IF(A194="","",SUMIFS(Sesiones!$F:$F,Sesiones!$C:$C,A194,Sesiones!$G:$G,"ARS")-SUMIFS(Pagos!$H:$H,Pagos!$D:$D,A194,Pagos!$I:$I,"ARS"))</f>
        <v/>
      </c>
      <c r="S194" s="13" t="str">
        <f aca="false">IF(A194="","",SUMIFS(Sesiones!$F:$F,Sesiones!$C:$C,A194,Sesiones!$G:$G,"USD")-SUMIFS(Pagos!$H:$H,Pagos!$D:$D,A194,Pagos!$I:$I,"USD"))</f>
        <v/>
      </c>
      <c r="T194" s="12" t="str">
        <f aca="false">IF(A194="","",SUMIFS(Pagos!$H:$H,Pagos!$D:$D,A194,Pagos!$I:$I,"ARS"))</f>
        <v/>
      </c>
      <c r="U194" s="13" t="str">
        <f aca="false">IF(A194="","",SUMIFS(Pagos!$H:$H,Pagos!$D:$D,A194,Pagos!$I:$I,"USD"))</f>
        <v/>
      </c>
    </row>
    <row r="195" customFormat="false" ht="15" hidden="false" customHeight="false" outlineLevel="0" collapsed="false">
      <c r="A195" s="6"/>
      <c r="B195" s="6"/>
      <c r="C195" s="6"/>
      <c r="D195" s="7"/>
      <c r="E195" s="7"/>
      <c r="F195" s="6"/>
      <c r="G195" s="7"/>
      <c r="H195" s="6"/>
      <c r="I195" s="6"/>
      <c r="J195" s="6"/>
      <c r="K195" s="9"/>
      <c r="L195" s="6"/>
      <c r="M195" s="6"/>
      <c r="N195" s="10"/>
      <c r="O195" s="6"/>
      <c r="P195" s="6"/>
      <c r="Q195" s="11" t="str">
        <f aca="false">IF(A195="","",TRIM(B195&amp;" "&amp;C195))</f>
        <v/>
      </c>
      <c r="R195" s="12" t="str">
        <f aca="false">IF(A195="","",SUMIFS(Sesiones!$F:$F,Sesiones!$C:$C,A195,Sesiones!$G:$G,"ARS")-SUMIFS(Pagos!$H:$H,Pagos!$D:$D,A195,Pagos!$I:$I,"ARS"))</f>
        <v/>
      </c>
      <c r="S195" s="13" t="str">
        <f aca="false">IF(A195="","",SUMIFS(Sesiones!$F:$F,Sesiones!$C:$C,A195,Sesiones!$G:$G,"USD")-SUMIFS(Pagos!$H:$H,Pagos!$D:$D,A195,Pagos!$I:$I,"USD"))</f>
        <v/>
      </c>
      <c r="T195" s="12" t="str">
        <f aca="false">IF(A195="","",SUMIFS(Pagos!$H:$H,Pagos!$D:$D,A195,Pagos!$I:$I,"ARS"))</f>
        <v/>
      </c>
      <c r="U195" s="13" t="str">
        <f aca="false">IF(A195="","",SUMIFS(Pagos!$H:$H,Pagos!$D:$D,A195,Pagos!$I:$I,"USD"))</f>
        <v/>
      </c>
    </row>
    <row r="196" customFormat="false" ht="15" hidden="false" customHeight="false" outlineLevel="0" collapsed="false">
      <c r="A196" s="6"/>
      <c r="B196" s="6"/>
      <c r="C196" s="6"/>
      <c r="D196" s="7"/>
      <c r="E196" s="7"/>
      <c r="F196" s="6"/>
      <c r="G196" s="7"/>
      <c r="H196" s="6"/>
      <c r="I196" s="6"/>
      <c r="J196" s="6"/>
      <c r="K196" s="9"/>
      <c r="L196" s="6"/>
      <c r="M196" s="6"/>
      <c r="N196" s="10"/>
      <c r="O196" s="6"/>
      <c r="P196" s="6"/>
      <c r="Q196" s="11" t="str">
        <f aca="false">IF(A196="","",TRIM(B196&amp;" "&amp;C196))</f>
        <v/>
      </c>
      <c r="R196" s="12" t="str">
        <f aca="false">IF(A196="","",SUMIFS(Sesiones!$F:$F,Sesiones!$C:$C,A196,Sesiones!$G:$G,"ARS")-SUMIFS(Pagos!$H:$H,Pagos!$D:$D,A196,Pagos!$I:$I,"ARS"))</f>
        <v/>
      </c>
      <c r="S196" s="13" t="str">
        <f aca="false">IF(A196="","",SUMIFS(Sesiones!$F:$F,Sesiones!$C:$C,A196,Sesiones!$G:$G,"USD")-SUMIFS(Pagos!$H:$H,Pagos!$D:$D,A196,Pagos!$I:$I,"USD"))</f>
        <v/>
      </c>
      <c r="T196" s="12" t="str">
        <f aca="false">IF(A196="","",SUMIFS(Pagos!$H:$H,Pagos!$D:$D,A196,Pagos!$I:$I,"ARS"))</f>
        <v/>
      </c>
      <c r="U196" s="13" t="str">
        <f aca="false">IF(A196="","",SUMIFS(Pagos!$H:$H,Pagos!$D:$D,A196,Pagos!$I:$I,"USD"))</f>
        <v/>
      </c>
    </row>
    <row r="197" customFormat="false" ht="15" hidden="false" customHeight="false" outlineLevel="0" collapsed="false">
      <c r="A197" s="6"/>
      <c r="B197" s="6"/>
      <c r="C197" s="6"/>
      <c r="D197" s="7"/>
      <c r="E197" s="7"/>
      <c r="F197" s="6"/>
      <c r="G197" s="7"/>
      <c r="H197" s="6"/>
      <c r="I197" s="6"/>
      <c r="J197" s="6"/>
      <c r="K197" s="9"/>
      <c r="L197" s="6"/>
      <c r="M197" s="6"/>
      <c r="N197" s="10"/>
      <c r="O197" s="6"/>
      <c r="P197" s="6"/>
      <c r="Q197" s="11" t="str">
        <f aca="false">IF(A197="","",TRIM(B197&amp;" "&amp;C197))</f>
        <v/>
      </c>
      <c r="R197" s="12" t="str">
        <f aca="false">IF(A197="","",SUMIFS(Sesiones!$F:$F,Sesiones!$C:$C,A197,Sesiones!$G:$G,"ARS")-SUMIFS(Pagos!$H:$H,Pagos!$D:$D,A197,Pagos!$I:$I,"ARS"))</f>
        <v/>
      </c>
      <c r="S197" s="13" t="str">
        <f aca="false">IF(A197="","",SUMIFS(Sesiones!$F:$F,Sesiones!$C:$C,A197,Sesiones!$G:$G,"USD")-SUMIFS(Pagos!$H:$H,Pagos!$D:$D,A197,Pagos!$I:$I,"USD"))</f>
        <v/>
      </c>
      <c r="T197" s="12" t="str">
        <f aca="false">IF(A197="","",SUMIFS(Pagos!$H:$H,Pagos!$D:$D,A197,Pagos!$I:$I,"ARS"))</f>
        <v/>
      </c>
      <c r="U197" s="13" t="str">
        <f aca="false">IF(A197="","",SUMIFS(Pagos!$H:$H,Pagos!$D:$D,A197,Pagos!$I:$I,"USD"))</f>
        <v/>
      </c>
    </row>
    <row r="198" customFormat="false" ht="15" hidden="false" customHeight="false" outlineLevel="0" collapsed="false">
      <c r="A198" s="6"/>
      <c r="B198" s="6"/>
      <c r="C198" s="6"/>
      <c r="D198" s="7"/>
      <c r="E198" s="7"/>
      <c r="F198" s="6"/>
      <c r="G198" s="7"/>
      <c r="H198" s="6"/>
      <c r="I198" s="6"/>
      <c r="J198" s="6"/>
      <c r="K198" s="9"/>
      <c r="L198" s="6"/>
      <c r="M198" s="6"/>
      <c r="N198" s="10"/>
      <c r="O198" s="6"/>
      <c r="P198" s="6"/>
      <c r="Q198" s="11" t="str">
        <f aca="false">IF(A198="","",TRIM(B198&amp;" "&amp;C198))</f>
        <v/>
      </c>
      <c r="R198" s="12" t="str">
        <f aca="false">IF(A198="","",SUMIFS(Sesiones!$F:$F,Sesiones!$C:$C,A198,Sesiones!$G:$G,"ARS")-SUMIFS(Pagos!$H:$H,Pagos!$D:$D,A198,Pagos!$I:$I,"ARS"))</f>
        <v/>
      </c>
      <c r="S198" s="13" t="str">
        <f aca="false">IF(A198="","",SUMIFS(Sesiones!$F:$F,Sesiones!$C:$C,A198,Sesiones!$G:$G,"USD")-SUMIFS(Pagos!$H:$H,Pagos!$D:$D,A198,Pagos!$I:$I,"USD"))</f>
        <v/>
      </c>
      <c r="T198" s="12" t="str">
        <f aca="false">IF(A198="","",SUMIFS(Pagos!$H:$H,Pagos!$D:$D,A198,Pagos!$I:$I,"ARS"))</f>
        <v/>
      </c>
      <c r="U198" s="13" t="str">
        <f aca="false">IF(A198="","",SUMIFS(Pagos!$H:$H,Pagos!$D:$D,A198,Pagos!$I:$I,"USD"))</f>
        <v/>
      </c>
    </row>
    <row r="199" customFormat="false" ht="15" hidden="false" customHeight="false" outlineLevel="0" collapsed="false">
      <c r="A199" s="6"/>
      <c r="B199" s="6"/>
      <c r="C199" s="6"/>
      <c r="D199" s="7"/>
      <c r="E199" s="7"/>
      <c r="F199" s="6"/>
      <c r="G199" s="7"/>
      <c r="H199" s="6"/>
      <c r="I199" s="6"/>
      <c r="J199" s="6"/>
      <c r="K199" s="9"/>
      <c r="L199" s="6"/>
      <c r="M199" s="6"/>
      <c r="N199" s="10"/>
      <c r="O199" s="6"/>
      <c r="P199" s="6"/>
      <c r="Q199" s="11" t="str">
        <f aca="false">IF(A199="","",TRIM(B199&amp;" "&amp;C199))</f>
        <v/>
      </c>
      <c r="R199" s="12" t="str">
        <f aca="false">IF(A199="","",SUMIFS(Sesiones!$F:$F,Sesiones!$C:$C,A199,Sesiones!$G:$G,"ARS")-SUMIFS(Pagos!$H:$H,Pagos!$D:$D,A199,Pagos!$I:$I,"ARS"))</f>
        <v/>
      </c>
      <c r="S199" s="13" t="str">
        <f aca="false">IF(A199="","",SUMIFS(Sesiones!$F:$F,Sesiones!$C:$C,A199,Sesiones!$G:$G,"USD")-SUMIFS(Pagos!$H:$H,Pagos!$D:$D,A199,Pagos!$I:$I,"USD"))</f>
        <v/>
      </c>
      <c r="T199" s="12" t="str">
        <f aca="false">IF(A199="","",SUMIFS(Pagos!$H:$H,Pagos!$D:$D,A199,Pagos!$I:$I,"ARS"))</f>
        <v/>
      </c>
      <c r="U199" s="13" t="str">
        <f aca="false">IF(A199="","",SUMIFS(Pagos!$H:$H,Pagos!$D:$D,A199,Pagos!$I:$I,"USD"))</f>
        <v/>
      </c>
    </row>
    <row r="200" customFormat="false" ht="15" hidden="false" customHeight="false" outlineLevel="0" collapsed="false">
      <c r="A200" s="6"/>
      <c r="B200" s="6"/>
      <c r="C200" s="6"/>
      <c r="D200" s="7"/>
      <c r="E200" s="7"/>
      <c r="F200" s="6"/>
      <c r="G200" s="7"/>
      <c r="H200" s="6"/>
      <c r="I200" s="6"/>
      <c r="J200" s="6"/>
      <c r="K200" s="9"/>
      <c r="L200" s="6"/>
      <c r="M200" s="6"/>
      <c r="N200" s="10"/>
      <c r="O200" s="6"/>
      <c r="P200" s="6"/>
      <c r="Q200" s="11" t="str">
        <f aca="false">IF(A200="","",TRIM(B200&amp;" "&amp;C200))</f>
        <v/>
      </c>
      <c r="R200" s="12" t="str">
        <f aca="false">IF(A200="","",SUMIFS(Sesiones!$F:$F,Sesiones!$C:$C,A200,Sesiones!$G:$G,"ARS")-SUMIFS(Pagos!$H:$H,Pagos!$D:$D,A200,Pagos!$I:$I,"ARS"))</f>
        <v/>
      </c>
      <c r="S200" s="13" t="str">
        <f aca="false">IF(A200="","",SUMIFS(Sesiones!$F:$F,Sesiones!$C:$C,A200,Sesiones!$G:$G,"USD")-SUMIFS(Pagos!$H:$H,Pagos!$D:$D,A200,Pagos!$I:$I,"USD"))</f>
        <v/>
      </c>
      <c r="T200" s="12" t="str">
        <f aca="false">IF(A200="","",SUMIFS(Pagos!$H:$H,Pagos!$D:$D,A200,Pagos!$I:$I,"ARS"))</f>
        <v/>
      </c>
      <c r="U200" s="13" t="str">
        <f aca="false">IF(A200="","",SUMIFS(Pagos!$H:$H,Pagos!$D:$D,A200,Pagos!$I:$I,"USD"))</f>
        <v/>
      </c>
    </row>
    <row r="201" customFormat="false" ht="15" hidden="false" customHeight="false" outlineLevel="0" collapsed="false">
      <c r="A201" s="6"/>
      <c r="B201" s="6"/>
      <c r="C201" s="6"/>
      <c r="D201" s="7"/>
      <c r="E201" s="7"/>
      <c r="F201" s="6"/>
      <c r="G201" s="7"/>
      <c r="H201" s="6"/>
      <c r="I201" s="6"/>
      <c r="J201" s="6"/>
      <c r="K201" s="9"/>
      <c r="L201" s="6"/>
      <c r="M201" s="6"/>
      <c r="N201" s="10"/>
      <c r="O201" s="6"/>
      <c r="P201" s="6"/>
      <c r="Q201" s="11" t="str">
        <f aca="false">IF(A201="","",TRIM(B201&amp;" "&amp;C201))</f>
        <v/>
      </c>
      <c r="R201" s="12" t="str">
        <f aca="false">IF(A201="","",SUMIFS(Sesiones!$F:$F,Sesiones!$C:$C,A201,Sesiones!$G:$G,"ARS")-SUMIFS(Pagos!$H:$H,Pagos!$D:$D,A201,Pagos!$I:$I,"ARS"))</f>
        <v/>
      </c>
      <c r="S201" s="13" t="str">
        <f aca="false">IF(A201="","",SUMIFS(Sesiones!$F:$F,Sesiones!$C:$C,A201,Sesiones!$G:$G,"USD")-SUMIFS(Pagos!$H:$H,Pagos!$D:$D,A201,Pagos!$I:$I,"USD"))</f>
        <v/>
      </c>
      <c r="T201" s="12" t="str">
        <f aca="false">IF(A201="","",SUMIFS(Pagos!$H:$H,Pagos!$D:$D,A201,Pagos!$I:$I,"ARS"))</f>
        <v/>
      </c>
      <c r="U201" s="13" t="str">
        <f aca="false">IF(A201="","",SUMIFS(Pagos!$H:$H,Pagos!$D:$D,A201,Pagos!$I:$I,"USD"))</f>
        <v/>
      </c>
    </row>
    <row r="202" customFormat="false" ht="15" hidden="false" customHeight="false" outlineLevel="0" collapsed="false">
      <c r="A202" s="6"/>
      <c r="B202" s="6"/>
      <c r="C202" s="6"/>
      <c r="D202" s="7"/>
      <c r="E202" s="7"/>
      <c r="F202" s="6"/>
      <c r="G202" s="7"/>
      <c r="H202" s="6"/>
      <c r="I202" s="6"/>
      <c r="J202" s="6"/>
      <c r="K202" s="9"/>
      <c r="L202" s="6"/>
      <c r="M202" s="6"/>
      <c r="N202" s="10"/>
      <c r="O202" s="6"/>
      <c r="P202" s="6"/>
      <c r="Q202" s="11" t="str">
        <f aca="false">IF(A202="","",TRIM(B202&amp;" "&amp;C202))</f>
        <v/>
      </c>
      <c r="R202" s="12" t="str">
        <f aca="false">IF(A202="","",SUMIFS(Sesiones!$F:$F,Sesiones!$C:$C,A202,Sesiones!$G:$G,"ARS")-SUMIFS(Pagos!$H:$H,Pagos!$D:$D,A202,Pagos!$I:$I,"ARS"))</f>
        <v/>
      </c>
      <c r="S202" s="13" t="str">
        <f aca="false">IF(A202="","",SUMIFS(Sesiones!$F:$F,Sesiones!$C:$C,A202,Sesiones!$G:$G,"USD")-SUMIFS(Pagos!$H:$H,Pagos!$D:$D,A202,Pagos!$I:$I,"USD"))</f>
        <v/>
      </c>
      <c r="T202" s="12" t="str">
        <f aca="false">IF(A202="","",SUMIFS(Pagos!$H:$H,Pagos!$D:$D,A202,Pagos!$I:$I,"ARS"))</f>
        <v/>
      </c>
      <c r="U202" s="13" t="str">
        <f aca="false">IF(A202="","",SUMIFS(Pagos!$H:$H,Pagos!$D:$D,A202,Pagos!$I:$I,"USD"))</f>
        <v/>
      </c>
    </row>
    <row r="203" customFormat="false" ht="15" hidden="false" customHeight="false" outlineLevel="0" collapsed="false">
      <c r="A203" s="6"/>
      <c r="B203" s="6"/>
      <c r="C203" s="6"/>
      <c r="D203" s="7"/>
      <c r="E203" s="7"/>
      <c r="F203" s="6"/>
      <c r="G203" s="7"/>
      <c r="H203" s="6"/>
      <c r="I203" s="6"/>
      <c r="J203" s="6"/>
      <c r="K203" s="9"/>
      <c r="L203" s="6"/>
      <c r="M203" s="6"/>
      <c r="N203" s="10"/>
      <c r="O203" s="6"/>
      <c r="P203" s="6"/>
      <c r="Q203" s="11" t="str">
        <f aca="false">IF(A203="","",TRIM(B203&amp;" "&amp;C203))</f>
        <v/>
      </c>
      <c r="R203" s="12" t="str">
        <f aca="false">IF(A203="","",SUMIFS(Sesiones!$F:$F,Sesiones!$C:$C,A203,Sesiones!$G:$G,"ARS")-SUMIFS(Pagos!$H:$H,Pagos!$D:$D,A203,Pagos!$I:$I,"ARS"))</f>
        <v/>
      </c>
      <c r="S203" s="13" t="str">
        <f aca="false">IF(A203="","",SUMIFS(Sesiones!$F:$F,Sesiones!$C:$C,A203,Sesiones!$G:$G,"USD")-SUMIFS(Pagos!$H:$H,Pagos!$D:$D,A203,Pagos!$I:$I,"USD"))</f>
        <v/>
      </c>
      <c r="T203" s="12" t="str">
        <f aca="false">IF(A203="","",SUMIFS(Pagos!$H:$H,Pagos!$D:$D,A203,Pagos!$I:$I,"ARS"))</f>
        <v/>
      </c>
      <c r="U203" s="13" t="str">
        <f aca="false">IF(A203="","",SUMIFS(Pagos!$H:$H,Pagos!$D:$D,A203,Pagos!$I:$I,"USD"))</f>
        <v/>
      </c>
    </row>
    <row r="204" customFormat="false" ht="15" hidden="false" customHeight="false" outlineLevel="0" collapsed="false">
      <c r="A204" s="6"/>
      <c r="B204" s="6"/>
      <c r="C204" s="6"/>
      <c r="D204" s="7"/>
      <c r="E204" s="7"/>
      <c r="F204" s="6"/>
      <c r="G204" s="7"/>
      <c r="H204" s="6"/>
      <c r="I204" s="6"/>
      <c r="J204" s="6"/>
      <c r="K204" s="9"/>
      <c r="L204" s="6"/>
      <c r="M204" s="6"/>
      <c r="N204" s="10"/>
      <c r="O204" s="6"/>
      <c r="P204" s="6"/>
      <c r="Q204" s="11" t="str">
        <f aca="false">IF(A204="","",TRIM(B204&amp;" "&amp;C204))</f>
        <v/>
      </c>
      <c r="R204" s="12" t="str">
        <f aca="false">IF(A204="","",SUMIFS(Sesiones!$F:$F,Sesiones!$C:$C,A204,Sesiones!$G:$G,"ARS")-SUMIFS(Pagos!$H:$H,Pagos!$D:$D,A204,Pagos!$I:$I,"ARS"))</f>
        <v/>
      </c>
      <c r="S204" s="13" t="str">
        <f aca="false">IF(A204="","",SUMIFS(Sesiones!$F:$F,Sesiones!$C:$C,A204,Sesiones!$G:$G,"USD")-SUMIFS(Pagos!$H:$H,Pagos!$D:$D,A204,Pagos!$I:$I,"USD"))</f>
        <v/>
      </c>
      <c r="T204" s="12" t="str">
        <f aca="false">IF(A204="","",SUMIFS(Pagos!$H:$H,Pagos!$D:$D,A204,Pagos!$I:$I,"ARS"))</f>
        <v/>
      </c>
      <c r="U204" s="13" t="str">
        <f aca="false">IF(A204="","",SUMIFS(Pagos!$H:$H,Pagos!$D:$D,A204,Pagos!$I:$I,"USD"))</f>
        <v/>
      </c>
    </row>
    <row r="205" customFormat="false" ht="15" hidden="false" customHeight="false" outlineLevel="0" collapsed="false">
      <c r="A205" s="6"/>
      <c r="B205" s="6"/>
      <c r="C205" s="6"/>
      <c r="D205" s="7"/>
      <c r="E205" s="7"/>
      <c r="F205" s="6"/>
      <c r="G205" s="7"/>
      <c r="H205" s="6"/>
      <c r="I205" s="6"/>
      <c r="J205" s="6"/>
      <c r="K205" s="9"/>
      <c r="L205" s="6"/>
      <c r="M205" s="6"/>
      <c r="N205" s="10"/>
      <c r="O205" s="6"/>
      <c r="P205" s="6"/>
      <c r="Q205" s="11" t="str">
        <f aca="false">IF(A205="","",TRIM(B205&amp;" "&amp;C205))</f>
        <v/>
      </c>
      <c r="R205" s="12" t="str">
        <f aca="false">IF(A205="","",SUMIFS(Sesiones!$F:$F,Sesiones!$C:$C,A205,Sesiones!$G:$G,"ARS")-SUMIFS(Pagos!$H:$H,Pagos!$D:$D,A205,Pagos!$I:$I,"ARS"))</f>
        <v/>
      </c>
      <c r="S205" s="13" t="str">
        <f aca="false">IF(A205="","",SUMIFS(Sesiones!$F:$F,Sesiones!$C:$C,A205,Sesiones!$G:$G,"USD")-SUMIFS(Pagos!$H:$H,Pagos!$D:$D,A205,Pagos!$I:$I,"USD"))</f>
        <v/>
      </c>
      <c r="T205" s="12" t="str">
        <f aca="false">IF(A205="","",SUMIFS(Pagos!$H:$H,Pagos!$D:$D,A205,Pagos!$I:$I,"ARS"))</f>
        <v/>
      </c>
      <c r="U205" s="13" t="str">
        <f aca="false">IF(A205="","",SUMIFS(Pagos!$H:$H,Pagos!$D:$D,A205,Pagos!$I:$I,"USD"))</f>
        <v/>
      </c>
    </row>
    <row r="206" customFormat="false" ht="15" hidden="false" customHeight="false" outlineLevel="0" collapsed="false">
      <c r="A206" s="6"/>
      <c r="B206" s="6"/>
      <c r="C206" s="6"/>
      <c r="D206" s="7"/>
      <c r="E206" s="7"/>
      <c r="F206" s="6"/>
      <c r="G206" s="7"/>
      <c r="H206" s="6"/>
      <c r="I206" s="6"/>
      <c r="J206" s="6"/>
      <c r="K206" s="9"/>
      <c r="L206" s="6"/>
      <c r="M206" s="6"/>
      <c r="N206" s="10"/>
      <c r="O206" s="6"/>
      <c r="P206" s="6"/>
      <c r="Q206" s="11" t="str">
        <f aca="false">IF(A206="","",TRIM(B206&amp;" "&amp;C206))</f>
        <v/>
      </c>
      <c r="R206" s="12" t="str">
        <f aca="false">IF(A206="","",SUMIFS(Sesiones!$F:$F,Sesiones!$C:$C,A206,Sesiones!$G:$G,"ARS")-SUMIFS(Pagos!$H:$H,Pagos!$D:$D,A206,Pagos!$I:$I,"ARS"))</f>
        <v/>
      </c>
      <c r="S206" s="13" t="str">
        <f aca="false">IF(A206="","",SUMIFS(Sesiones!$F:$F,Sesiones!$C:$C,A206,Sesiones!$G:$G,"USD")-SUMIFS(Pagos!$H:$H,Pagos!$D:$D,A206,Pagos!$I:$I,"USD"))</f>
        <v/>
      </c>
      <c r="T206" s="12" t="str">
        <f aca="false">IF(A206="","",SUMIFS(Pagos!$H:$H,Pagos!$D:$D,A206,Pagos!$I:$I,"ARS"))</f>
        <v/>
      </c>
      <c r="U206" s="13" t="str">
        <f aca="false">IF(A206="","",SUMIFS(Pagos!$H:$H,Pagos!$D:$D,A206,Pagos!$I:$I,"USD"))</f>
        <v/>
      </c>
    </row>
    <row r="207" customFormat="false" ht="15" hidden="false" customHeight="false" outlineLevel="0" collapsed="false">
      <c r="A207" s="6"/>
      <c r="B207" s="6"/>
      <c r="C207" s="6"/>
      <c r="D207" s="7"/>
      <c r="E207" s="7"/>
      <c r="F207" s="6"/>
      <c r="G207" s="7"/>
      <c r="H207" s="6"/>
      <c r="I207" s="6"/>
      <c r="J207" s="6"/>
      <c r="K207" s="9"/>
      <c r="L207" s="6"/>
      <c r="M207" s="6"/>
      <c r="N207" s="10"/>
      <c r="O207" s="6"/>
      <c r="P207" s="6"/>
      <c r="Q207" s="11" t="str">
        <f aca="false">IF(A207="","",TRIM(B207&amp;" "&amp;C207))</f>
        <v/>
      </c>
      <c r="R207" s="12" t="str">
        <f aca="false">IF(A207="","",SUMIFS(Sesiones!$F:$F,Sesiones!$C:$C,A207,Sesiones!$G:$G,"ARS")-SUMIFS(Pagos!$H:$H,Pagos!$D:$D,A207,Pagos!$I:$I,"ARS"))</f>
        <v/>
      </c>
      <c r="S207" s="13" t="str">
        <f aca="false">IF(A207="","",SUMIFS(Sesiones!$F:$F,Sesiones!$C:$C,A207,Sesiones!$G:$G,"USD")-SUMIFS(Pagos!$H:$H,Pagos!$D:$D,A207,Pagos!$I:$I,"USD"))</f>
        <v/>
      </c>
      <c r="T207" s="12" t="str">
        <f aca="false">IF(A207="","",SUMIFS(Pagos!$H:$H,Pagos!$D:$D,A207,Pagos!$I:$I,"ARS"))</f>
        <v/>
      </c>
      <c r="U207" s="13" t="str">
        <f aca="false">IF(A207="","",SUMIFS(Pagos!$H:$H,Pagos!$D:$D,A207,Pagos!$I:$I,"USD"))</f>
        <v/>
      </c>
    </row>
    <row r="208" customFormat="false" ht="15" hidden="false" customHeight="false" outlineLevel="0" collapsed="false">
      <c r="A208" s="6"/>
      <c r="B208" s="6"/>
      <c r="C208" s="6"/>
      <c r="D208" s="7"/>
      <c r="E208" s="7"/>
      <c r="F208" s="6"/>
      <c r="G208" s="7"/>
      <c r="H208" s="6"/>
      <c r="I208" s="6"/>
      <c r="J208" s="6"/>
      <c r="K208" s="9"/>
      <c r="L208" s="6"/>
      <c r="M208" s="6"/>
      <c r="N208" s="10"/>
      <c r="O208" s="6"/>
      <c r="P208" s="6"/>
      <c r="Q208" s="11" t="str">
        <f aca="false">IF(A208="","",TRIM(B208&amp;" "&amp;C208))</f>
        <v/>
      </c>
      <c r="R208" s="12" t="str">
        <f aca="false">IF(A208="","",SUMIFS(Sesiones!$F:$F,Sesiones!$C:$C,A208,Sesiones!$G:$G,"ARS")-SUMIFS(Pagos!$H:$H,Pagos!$D:$D,A208,Pagos!$I:$I,"ARS"))</f>
        <v/>
      </c>
      <c r="S208" s="13" t="str">
        <f aca="false">IF(A208="","",SUMIFS(Sesiones!$F:$F,Sesiones!$C:$C,A208,Sesiones!$G:$G,"USD")-SUMIFS(Pagos!$H:$H,Pagos!$D:$D,A208,Pagos!$I:$I,"USD"))</f>
        <v/>
      </c>
      <c r="T208" s="12" t="str">
        <f aca="false">IF(A208="","",SUMIFS(Pagos!$H:$H,Pagos!$D:$D,A208,Pagos!$I:$I,"ARS"))</f>
        <v/>
      </c>
      <c r="U208" s="13" t="str">
        <f aca="false">IF(A208="","",SUMIFS(Pagos!$H:$H,Pagos!$D:$D,A208,Pagos!$I:$I,"USD"))</f>
        <v/>
      </c>
    </row>
    <row r="209" customFormat="false" ht="15" hidden="false" customHeight="false" outlineLevel="0" collapsed="false">
      <c r="A209" s="6"/>
      <c r="B209" s="6"/>
      <c r="C209" s="6"/>
      <c r="D209" s="7"/>
      <c r="E209" s="7"/>
      <c r="F209" s="6"/>
      <c r="G209" s="7"/>
      <c r="H209" s="6"/>
      <c r="I209" s="6"/>
      <c r="J209" s="6"/>
      <c r="K209" s="9"/>
      <c r="L209" s="6"/>
      <c r="M209" s="6"/>
      <c r="N209" s="10"/>
      <c r="O209" s="6"/>
      <c r="P209" s="6"/>
      <c r="Q209" s="11" t="str">
        <f aca="false">IF(A209="","",TRIM(B209&amp;" "&amp;C209))</f>
        <v/>
      </c>
      <c r="R209" s="12" t="str">
        <f aca="false">IF(A209="","",SUMIFS(Sesiones!$F:$F,Sesiones!$C:$C,A209,Sesiones!$G:$G,"ARS")-SUMIFS(Pagos!$H:$H,Pagos!$D:$D,A209,Pagos!$I:$I,"ARS"))</f>
        <v/>
      </c>
      <c r="S209" s="13" t="str">
        <f aca="false">IF(A209="","",SUMIFS(Sesiones!$F:$F,Sesiones!$C:$C,A209,Sesiones!$G:$G,"USD")-SUMIFS(Pagos!$H:$H,Pagos!$D:$D,A209,Pagos!$I:$I,"USD"))</f>
        <v/>
      </c>
      <c r="T209" s="12" t="str">
        <f aca="false">IF(A209="","",SUMIFS(Pagos!$H:$H,Pagos!$D:$D,A209,Pagos!$I:$I,"ARS"))</f>
        <v/>
      </c>
      <c r="U209" s="13" t="str">
        <f aca="false">IF(A209="","",SUMIFS(Pagos!$H:$H,Pagos!$D:$D,A209,Pagos!$I:$I,"USD"))</f>
        <v/>
      </c>
    </row>
    <row r="210" customFormat="false" ht="15" hidden="false" customHeight="false" outlineLevel="0" collapsed="false">
      <c r="A210" s="6"/>
      <c r="B210" s="6"/>
      <c r="C210" s="6"/>
      <c r="D210" s="7"/>
      <c r="E210" s="7"/>
      <c r="F210" s="6"/>
      <c r="G210" s="7"/>
      <c r="H210" s="6"/>
      <c r="I210" s="6"/>
      <c r="J210" s="6"/>
      <c r="K210" s="9"/>
      <c r="L210" s="6"/>
      <c r="M210" s="6"/>
      <c r="N210" s="10"/>
      <c r="O210" s="6"/>
      <c r="P210" s="6"/>
      <c r="Q210" s="11" t="str">
        <f aca="false">IF(A210="","",TRIM(B210&amp;" "&amp;C210))</f>
        <v/>
      </c>
      <c r="R210" s="12" t="str">
        <f aca="false">IF(A210="","",SUMIFS(Sesiones!$F:$F,Sesiones!$C:$C,A210,Sesiones!$G:$G,"ARS")-SUMIFS(Pagos!$H:$H,Pagos!$D:$D,A210,Pagos!$I:$I,"ARS"))</f>
        <v/>
      </c>
      <c r="S210" s="13" t="str">
        <f aca="false">IF(A210="","",SUMIFS(Sesiones!$F:$F,Sesiones!$C:$C,A210,Sesiones!$G:$G,"USD")-SUMIFS(Pagos!$H:$H,Pagos!$D:$D,A210,Pagos!$I:$I,"USD"))</f>
        <v/>
      </c>
      <c r="T210" s="12" t="str">
        <f aca="false">IF(A210="","",SUMIFS(Pagos!$H:$H,Pagos!$D:$D,A210,Pagos!$I:$I,"ARS"))</f>
        <v/>
      </c>
      <c r="U210" s="13" t="str">
        <f aca="false">IF(A210="","",SUMIFS(Pagos!$H:$H,Pagos!$D:$D,A210,Pagos!$I:$I,"USD"))</f>
        <v/>
      </c>
    </row>
    <row r="211" customFormat="false" ht="15" hidden="false" customHeight="false" outlineLevel="0" collapsed="false">
      <c r="A211" s="6"/>
      <c r="B211" s="6"/>
      <c r="C211" s="6"/>
      <c r="D211" s="7"/>
      <c r="E211" s="7"/>
      <c r="F211" s="6"/>
      <c r="G211" s="7"/>
      <c r="H211" s="6"/>
      <c r="I211" s="6"/>
      <c r="J211" s="6"/>
      <c r="K211" s="9"/>
      <c r="L211" s="6"/>
      <c r="M211" s="6"/>
      <c r="N211" s="10"/>
      <c r="O211" s="6"/>
      <c r="P211" s="6"/>
      <c r="Q211" s="11" t="str">
        <f aca="false">IF(A211="","",TRIM(B211&amp;" "&amp;C211))</f>
        <v/>
      </c>
      <c r="R211" s="12" t="str">
        <f aca="false">IF(A211="","",SUMIFS(Sesiones!$F:$F,Sesiones!$C:$C,A211,Sesiones!$G:$G,"ARS")-SUMIFS(Pagos!$H:$H,Pagos!$D:$D,A211,Pagos!$I:$I,"ARS"))</f>
        <v/>
      </c>
      <c r="S211" s="13" t="str">
        <f aca="false">IF(A211="","",SUMIFS(Sesiones!$F:$F,Sesiones!$C:$C,A211,Sesiones!$G:$G,"USD")-SUMIFS(Pagos!$H:$H,Pagos!$D:$D,A211,Pagos!$I:$I,"USD"))</f>
        <v/>
      </c>
      <c r="T211" s="12" t="str">
        <f aca="false">IF(A211="","",SUMIFS(Pagos!$H:$H,Pagos!$D:$D,A211,Pagos!$I:$I,"ARS"))</f>
        <v/>
      </c>
      <c r="U211" s="13" t="str">
        <f aca="false">IF(A211="","",SUMIFS(Pagos!$H:$H,Pagos!$D:$D,A211,Pagos!$I:$I,"USD"))</f>
        <v/>
      </c>
    </row>
    <row r="212" customFormat="false" ht="15" hidden="false" customHeight="false" outlineLevel="0" collapsed="false">
      <c r="A212" s="6"/>
      <c r="B212" s="6"/>
      <c r="C212" s="6"/>
      <c r="D212" s="7"/>
      <c r="E212" s="7"/>
      <c r="F212" s="6"/>
      <c r="G212" s="7"/>
      <c r="H212" s="6"/>
      <c r="I212" s="6"/>
      <c r="J212" s="6"/>
      <c r="K212" s="9"/>
      <c r="L212" s="6"/>
      <c r="M212" s="6"/>
      <c r="N212" s="10"/>
      <c r="O212" s="6"/>
      <c r="P212" s="6"/>
      <c r="Q212" s="11" t="str">
        <f aca="false">IF(A212="","",TRIM(B212&amp;" "&amp;C212))</f>
        <v/>
      </c>
      <c r="R212" s="12" t="str">
        <f aca="false">IF(A212="","",SUMIFS(Sesiones!$F:$F,Sesiones!$C:$C,A212,Sesiones!$G:$G,"ARS")-SUMIFS(Pagos!$H:$H,Pagos!$D:$D,A212,Pagos!$I:$I,"ARS"))</f>
        <v/>
      </c>
      <c r="S212" s="13" t="str">
        <f aca="false">IF(A212="","",SUMIFS(Sesiones!$F:$F,Sesiones!$C:$C,A212,Sesiones!$G:$G,"USD")-SUMIFS(Pagos!$H:$H,Pagos!$D:$D,A212,Pagos!$I:$I,"USD"))</f>
        <v/>
      </c>
      <c r="T212" s="12" t="str">
        <f aca="false">IF(A212="","",SUMIFS(Pagos!$H:$H,Pagos!$D:$D,A212,Pagos!$I:$I,"ARS"))</f>
        <v/>
      </c>
      <c r="U212" s="13" t="str">
        <f aca="false">IF(A212="","",SUMIFS(Pagos!$H:$H,Pagos!$D:$D,A212,Pagos!$I:$I,"USD"))</f>
        <v/>
      </c>
    </row>
    <row r="213" customFormat="false" ht="15" hidden="false" customHeight="false" outlineLevel="0" collapsed="false">
      <c r="A213" s="6"/>
      <c r="B213" s="6"/>
      <c r="C213" s="6"/>
      <c r="D213" s="7"/>
      <c r="E213" s="7"/>
      <c r="F213" s="6"/>
      <c r="G213" s="7"/>
      <c r="H213" s="6"/>
      <c r="I213" s="6"/>
      <c r="J213" s="6"/>
      <c r="K213" s="9"/>
      <c r="L213" s="6"/>
      <c r="M213" s="6"/>
      <c r="N213" s="10"/>
      <c r="O213" s="6"/>
      <c r="P213" s="6"/>
      <c r="Q213" s="11" t="str">
        <f aca="false">IF(A213="","",TRIM(B213&amp;" "&amp;C213))</f>
        <v/>
      </c>
      <c r="R213" s="12" t="str">
        <f aca="false">IF(A213="","",SUMIFS(Sesiones!$F:$F,Sesiones!$C:$C,A213,Sesiones!$G:$G,"ARS")-SUMIFS(Pagos!$H:$H,Pagos!$D:$D,A213,Pagos!$I:$I,"ARS"))</f>
        <v/>
      </c>
      <c r="S213" s="13" t="str">
        <f aca="false">IF(A213="","",SUMIFS(Sesiones!$F:$F,Sesiones!$C:$C,A213,Sesiones!$G:$G,"USD")-SUMIFS(Pagos!$H:$H,Pagos!$D:$D,A213,Pagos!$I:$I,"USD"))</f>
        <v/>
      </c>
      <c r="T213" s="12" t="str">
        <f aca="false">IF(A213="","",SUMIFS(Pagos!$H:$H,Pagos!$D:$D,A213,Pagos!$I:$I,"ARS"))</f>
        <v/>
      </c>
      <c r="U213" s="13" t="str">
        <f aca="false">IF(A213="","",SUMIFS(Pagos!$H:$H,Pagos!$D:$D,A213,Pagos!$I:$I,"USD"))</f>
        <v/>
      </c>
    </row>
    <row r="214" customFormat="false" ht="15" hidden="false" customHeight="false" outlineLevel="0" collapsed="false">
      <c r="A214" s="6"/>
      <c r="B214" s="6"/>
      <c r="C214" s="6"/>
      <c r="D214" s="7"/>
      <c r="E214" s="7"/>
      <c r="F214" s="6"/>
      <c r="G214" s="7"/>
      <c r="H214" s="6"/>
      <c r="I214" s="6"/>
      <c r="J214" s="6"/>
      <c r="K214" s="9"/>
      <c r="L214" s="6"/>
      <c r="M214" s="6"/>
      <c r="N214" s="10"/>
      <c r="O214" s="6"/>
      <c r="P214" s="6"/>
      <c r="Q214" s="11" t="str">
        <f aca="false">IF(A214="","",TRIM(B214&amp;" "&amp;C214))</f>
        <v/>
      </c>
      <c r="R214" s="12" t="str">
        <f aca="false">IF(A214="","",SUMIFS(Sesiones!$F:$F,Sesiones!$C:$C,A214,Sesiones!$G:$G,"ARS")-SUMIFS(Pagos!$H:$H,Pagos!$D:$D,A214,Pagos!$I:$I,"ARS"))</f>
        <v/>
      </c>
      <c r="S214" s="13" t="str">
        <f aca="false">IF(A214="","",SUMIFS(Sesiones!$F:$F,Sesiones!$C:$C,A214,Sesiones!$G:$G,"USD")-SUMIFS(Pagos!$H:$H,Pagos!$D:$D,A214,Pagos!$I:$I,"USD"))</f>
        <v/>
      </c>
      <c r="T214" s="12" t="str">
        <f aca="false">IF(A214="","",SUMIFS(Pagos!$H:$H,Pagos!$D:$D,A214,Pagos!$I:$I,"ARS"))</f>
        <v/>
      </c>
      <c r="U214" s="13" t="str">
        <f aca="false">IF(A214="","",SUMIFS(Pagos!$H:$H,Pagos!$D:$D,A214,Pagos!$I:$I,"USD"))</f>
        <v/>
      </c>
    </row>
    <row r="215" customFormat="false" ht="15" hidden="false" customHeight="false" outlineLevel="0" collapsed="false">
      <c r="A215" s="6"/>
      <c r="B215" s="6"/>
      <c r="C215" s="6"/>
      <c r="D215" s="7"/>
      <c r="E215" s="7"/>
      <c r="F215" s="6"/>
      <c r="G215" s="7"/>
      <c r="H215" s="6"/>
      <c r="I215" s="6"/>
      <c r="J215" s="6"/>
      <c r="K215" s="9"/>
      <c r="L215" s="6"/>
      <c r="M215" s="6"/>
      <c r="N215" s="10"/>
      <c r="O215" s="6"/>
      <c r="P215" s="6"/>
      <c r="Q215" s="11" t="str">
        <f aca="false">IF(A215="","",TRIM(B215&amp;" "&amp;C215))</f>
        <v/>
      </c>
      <c r="R215" s="12" t="str">
        <f aca="false">IF(A215="","",SUMIFS(Sesiones!$F:$F,Sesiones!$C:$C,A215,Sesiones!$G:$G,"ARS")-SUMIFS(Pagos!$H:$H,Pagos!$D:$D,A215,Pagos!$I:$I,"ARS"))</f>
        <v/>
      </c>
      <c r="S215" s="13" t="str">
        <f aca="false">IF(A215="","",SUMIFS(Sesiones!$F:$F,Sesiones!$C:$C,A215,Sesiones!$G:$G,"USD")-SUMIFS(Pagos!$H:$H,Pagos!$D:$D,A215,Pagos!$I:$I,"USD"))</f>
        <v/>
      </c>
      <c r="T215" s="12" t="str">
        <f aca="false">IF(A215="","",SUMIFS(Pagos!$H:$H,Pagos!$D:$D,A215,Pagos!$I:$I,"ARS"))</f>
        <v/>
      </c>
      <c r="U215" s="13" t="str">
        <f aca="false">IF(A215="","",SUMIFS(Pagos!$H:$H,Pagos!$D:$D,A215,Pagos!$I:$I,"USD"))</f>
        <v/>
      </c>
    </row>
    <row r="216" customFormat="false" ht="15" hidden="false" customHeight="false" outlineLevel="0" collapsed="false">
      <c r="A216" s="6"/>
      <c r="B216" s="6"/>
      <c r="C216" s="6"/>
      <c r="D216" s="7"/>
      <c r="E216" s="7"/>
      <c r="F216" s="6"/>
      <c r="G216" s="7"/>
      <c r="H216" s="6"/>
      <c r="I216" s="6"/>
      <c r="J216" s="6"/>
      <c r="K216" s="9"/>
      <c r="L216" s="6"/>
      <c r="M216" s="6"/>
      <c r="N216" s="10"/>
      <c r="O216" s="6"/>
      <c r="P216" s="6"/>
      <c r="Q216" s="11" t="str">
        <f aca="false">IF(A216="","",TRIM(B216&amp;" "&amp;C216))</f>
        <v/>
      </c>
      <c r="R216" s="12" t="str">
        <f aca="false">IF(A216="","",SUMIFS(Sesiones!$F:$F,Sesiones!$C:$C,A216,Sesiones!$G:$G,"ARS")-SUMIFS(Pagos!$H:$H,Pagos!$D:$D,A216,Pagos!$I:$I,"ARS"))</f>
        <v/>
      </c>
      <c r="S216" s="13" t="str">
        <f aca="false">IF(A216="","",SUMIFS(Sesiones!$F:$F,Sesiones!$C:$C,A216,Sesiones!$G:$G,"USD")-SUMIFS(Pagos!$H:$H,Pagos!$D:$D,A216,Pagos!$I:$I,"USD"))</f>
        <v/>
      </c>
      <c r="T216" s="12" t="str">
        <f aca="false">IF(A216="","",SUMIFS(Pagos!$H:$H,Pagos!$D:$D,A216,Pagos!$I:$I,"ARS"))</f>
        <v/>
      </c>
      <c r="U216" s="13" t="str">
        <f aca="false">IF(A216="","",SUMIFS(Pagos!$H:$H,Pagos!$D:$D,A216,Pagos!$I:$I,"USD"))</f>
        <v/>
      </c>
    </row>
    <row r="217" customFormat="false" ht="15" hidden="false" customHeight="false" outlineLevel="0" collapsed="false">
      <c r="A217" s="6"/>
      <c r="B217" s="6"/>
      <c r="C217" s="6"/>
      <c r="D217" s="7"/>
      <c r="E217" s="7"/>
      <c r="F217" s="6"/>
      <c r="G217" s="7"/>
      <c r="H217" s="6"/>
      <c r="I217" s="6"/>
      <c r="J217" s="6"/>
      <c r="K217" s="9"/>
      <c r="L217" s="6"/>
      <c r="M217" s="6"/>
      <c r="N217" s="10"/>
      <c r="O217" s="6"/>
      <c r="P217" s="6"/>
      <c r="Q217" s="11" t="str">
        <f aca="false">IF(A217="","",TRIM(B217&amp;" "&amp;C217))</f>
        <v/>
      </c>
      <c r="R217" s="12" t="str">
        <f aca="false">IF(A217="","",SUMIFS(Sesiones!$F:$F,Sesiones!$C:$C,A217,Sesiones!$G:$G,"ARS")-SUMIFS(Pagos!$H:$H,Pagos!$D:$D,A217,Pagos!$I:$I,"ARS"))</f>
        <v/>
      </c>
      <c r="S217" s="13" t="str">
        <f aca="false">IF(A217="","",SUMIFS(Sesiones!$F:$F,Sesiones!$C:$C,A217,Sesiones!$G:$G,"USD")-SUMIFS(Pagos!$H:$H,Pagos!$D:$D,A217,Pagos!$I:$I,"USD"))</f>
        <v/>
      </c>
      <c r="T217" s="12" t="str">
        <f aca="false">IF(A217="","",SUMIFS(Pagos!$H:$H,Pagos!$D:$D,A217,Pagos!$I:$I,"ARS"))</f>
        <v/>
      </c>
      <c r="U217" s="13" t="str">
        <f aca="false">IF(A217="","",SUMIFS(Pagos!$H:$H,Pagos!$D:$D,A217,Pagos!$I:$I,"USD"))</f>
        <v/>
      </c>
    </row>
    <row r="218" customFormat="false" ht="15" hidden="false" customHeight="false" outlineLevel="0" collapsed="false">
      <c r="A218" s="6"/>
      <c r="B218" s="6"/>
      <c r="C218" s="6"/>
      <c r="D218" s="7"/>
      <c r="E218" s="7"/>
      <c r="F218" s="6"/>
      <c r="G218" s="7"/>
      <c r="H218" s="6"/>
      <c r="I218" s="6"/>
      <c r="J218" s="6"/>
      <c r="K218" s="9"/>
      <c r="L218" s="6"/>
      <c r="M218" s="6"/>
      <c r="N218" s="10"/>
      <c r="O218" s="6"/>
      <c r="P218" s="6"/>
      <c r="Q218" s="11" t="str">
        <f aca="false">IF(A218="","",TRIM(B218&amp;" "&amp;C218))</f>
        <v/>
      </c>
      <c r="R218" s="12" t="str">
        <f aca="false">IF(A218="","",SUMIFS(Sesiones!$F:$F,Sesiones!$C:$C,A218,Sesiones!$G:$G,"ARS")-SUMIFS(Pagos!$H:$H,Pagos!$D:$D,A218,Pagos!$I:$I,"ARS"))</f>
        <v/>
      </c>
      <c r="S218" s="13" t="str">
        <f aca="false">IF(A218="","",SUMIFS(Sesiones!$F:$F,Sesiones!$C:$C,A218,Sesiones!$G:$G,"USD")-SUMIFS(Pagos!$H:$H,Pagos!$D:$D,A218,Pagos!$I:$I,"USD"))</f>
        <v/>
      </c>
      <c r="T218" s="12" t="str">
        <f aca="false">IF(A218="","",SUMIFS(Pagos!$H:$H,Pagos!$D:$D,A218,Pagos!$I:$I,"ARS"))</f>
        <v/>
      </c>
      <c r="U218" s="13" t="str">
        <f aca="false">IF(A218="","",SUMIFS(Pagos!$H:$H,Pagos!$D:$D,A218,Pagos!$I:$I,"USD"))</f>
        <v/>
      </c>
    </row>
    <row r="219" customFormat="false" ht="15" hidden="false" customHeight="false" outlineLevel="0" collapsed="false">
      <c r="A219" s="6"/>
      <c r="B219" s="6"/>
      <c r="C219" s="6"/>
      <c r="D219" s="7"/>
      <c r="E219" s="7"/>
      <c r="F219" s="6"/>
      <c r="G219" s="7"/>
      <c r="H219" s="6"/>
      <c r="I219" s="6"/>
      <c r="J219" s="6"/>
      <c r="K219" s="9"/>
      <c r="L219" s="6"/>
      <c r="M219" s="6"/>
      <c r="N219" s="10"/>
      <c r="O219" s="6"/>
      <c r="P219" s="6"/>
      <c r="Q219" s="11" t="str">
        <f aca="false">IF(A219="","",TRIM(B219&amp;" "&amp;C219))</f>
        <v/>
      </c>
      <c r="R219" s="12" t="str">
        <f aca="false">IF(A219="","",SUMIFS(Sesiones!$F:$F,Sesiones!$C:$C,A219,Sesiones!$G:$G,"ARS")-SUMIFS(Pagos!$H:$H,Pagos!$D:$D,A219,Pagos!$I:$I,"ARS"))</f>
        <v/>
      </c>
      <c r="S219" s="13" t="str">
        <f aca="false">IF(A219="","",SUMIFS(Sesiones!$F:$F,Sesiones!$C:$C,A219,Sesiones!$G:$G,"USD")-SUMIFS(Pagos!$H:$H,Pagos!$D:$D,A219,Pagos!$I:$I,"USD"))</f>
        <v/>
      </c>
      <c r="T219" s="12" t="str">
        <f aca="false">IF(A219="","",SUMIFS(Pagos!$H:$H,Pagos!$D:$D,A219,Pagos!$I:$I,"ARS"))</f>
        <v/>
      </c>
      <c r="U219" s="13" t="str">
        <f aca="false">IF(A219="","",SUMIFS(Pagos!$H:$H,Pagos!$D:$D,A219,Pagos!$I:$I,"USD"))</f>
        <v/>
      </c>
    </row>
    <row r="220" customFormat="false" ht="15" hidden="false" customHeight="false" outlineLevel="0" collapsed="false">
      <c r="A220" s="6"/>
      <c r="B220" s="6"/>
      <c r="C220" s="6"/>
      <c r="D220" s="7"/>
      <c r="E220" s="7"/>
      <c r="F220" s="6"/>
      <c r="G220" s="7"/>
      <c r="H220" s="6"/>
      <c r="I220" s="6"/>
      <c r="J220" s="6"/>
      <c r="K220" s="9"/>
      <c r="L220" s="6"/>
      <c r="M220" s="6"/>
      <c r="N220" s="10"/>
      <c r="O220" s="6"/>
      <c r="P220" s="6"/>
      <c r="Q220" s="11" t="str">
        <f aca="false">IF(A220="","",TRIM(B220&amp;" "&amp;C220))</f>
        <v/>
      </c>
      <c r="R220" s="12" t="str">
        <f aca="false">IF(A220="","",SUMIFS(Sesiones!$F:$F,Sesiones!$C:$C,A220,Sesiones!$G:$G,"ARS")-SUMIFS(Pagos!$H:$H,Pagos!$D:$D,A220,Pagos!$I:$I,"ARS"))</f>
        <v/>
      </c>
      <c r="S220" s="13" t="str">
        <f aca="false">IF(A220="","",SUMIFS(Sesiones!$F:$F,Sesiones!$C:$C,A220,Sesiones!$G:$G,"USD")-SUMIFS(Pagos!$H:$H,Pagos!$D:$D,A220,Pagos!$I:$I,"USD"))</f>
        <v/>
      </c>
      <c r="T220" s="12" t="str">
        <f aca="false">IF(A220="","",SUMIFS(Pagos!$H:$H,Pagos!$D:$D,A220,Pagos!$I:$I,"ARS"))</f>
        <v/>
      </c>
      <c r="U220" s="13" t="str">
        <f aca="false">IF(A220="","",SUMIFS(Pagos!$H:$H,Pagos!$D:$D,A220,Pagos!$I:$I,"USD"))</f>
        <v/>
      </c>
    </row>
    <row r="221" customFormat="false" ht="15" hidden="false" customHeight="false" outlineLevel="0" collapsed="false">
      <c r="A221" s="6"/>
      <c r="B221" s="6"/>
      <c r="C221" s="6"/>
      <c r="D221" s="7"/>
      <c r="E221" s="7"/>
      <c r="F221" s="6"/>
      <c r="G221" s="7"/>
      <c r="H221" s="6"/>
      <c r="I221" s="6"/>
      <c r="J221" s="6"/>
      <c r="K221" s="9"/>
      <c r="L221" s="6"/>
      <c r="M221" s="6"/>
      <c r="N221" s="10"/>
      <c r="O221" s="6"/>
      <c r="P221" s="6"/>
      <c r="Q221" s="11" t="str">
        <f aca="false">IF(A221="","",TRIM(B221&amp;" "&amp;C221))</f>
        <v/>
      </c>
      <c r="R221" s="12" t="str">
        <f aca="false">IF(A221="","",SUMIFS(Sesiones!$F:$F,Sesiones!$C:$C,A221,Sesiones!$G:$G,"ARS")-SUMIFS(Pagos!$H:$H,Pagos!$D:$D,A221,Pagos!$I:$I,"ARS"))</f>
        <v/>
      </c>
      <c r="S221" s="13" t="str">
        <f aca="false">IF(A221="","",SUMIFS(Sesiones!$F:$F,Sesiones!$C:$C,A221,Sesiones!$G:$G,"USD")-SUMIFS(Pagos!$H:$H,Pagos!$D:$D,A221,Pagos!$I:$I,"USD"))</f>
        <v/>
      </c>
      <c r="T221" s="12" t="str">
        <f aca="false">IF(A221="","",SUMIFS(Pagos!$H:$H,Pagos!$D:$D,A221,Pagos!$I:$I,"ARS"))</f>
        <v/>
      </c>
      <c r="U221" s="13" t="str">
        <f aca="false">IF(A221="","",SUMIFS(Pagos!$H:$H,Pagos!$D:$D,A221,Pagos!$I:$I,"USD"))</f>
        <v/>
      </c>
    </row>
    <row r="222" customFormat="false" ht="15" hidden="false" customHeight="false" outlineLevel="0" collapsed="false">
      <c r="A222" s="6"/>
      <c r="B222" s="6"/>
      <c r="C222" s="6"/>
      <c r="D222" s="7"/>
      <c r="E222" s="7"/>
      <c r="F222" s="6"/>
      <c r="G222" s="7"/>
      <c r="H222" s="6"/>
      <c r="I222" s="6"/>
      <c r="J222" s="6"/>
      <c r="K222" s="9"/>
      <c r="L222" s="6"/>
      <c r="M222" s="6"/>
      <c r="N222" s="10"/>
      <c r="O222" s="6"/>
      <c r="P222" s="6"/>
      <c r="Q222" s="11" t="str">
        <f aca="false">IF(A222="","",TRIM(B222&amp;" "&amp;C222))</f>
        <v/>
      </c>
      <c r="R222" s="12" t="str">
        <f aca="false">IF(A222="","",SUMIFS(Sesiones!$F:$F,Sesiones!$C:$C,A222,Sesiones!$G:$G,"ARS")-SUMIFS(Pagos!$H:$H,Pagos!$D:$D,A222,Pagos!$I:$I,"ARS"))</f>
        <v/>
      </c>
      <c r="S222" s="13" t="str">
        <f aca="false">IF(A222="","",SUMIFS(Sesiones!$F:$F,Sesiones!$C:$C,A222,Sesiones!$G:$G,"USD")-SUMIFS(Pagos!$H:$H,Pagos!$D:$D,A222,Pagos!$I:$I,"USD"))</f>
        <v/>
      </c>
      <c r="T222" s="12" t="str">
        <f aca="false">IF(A222="","",SUMIFS(Pagos!$H:$H,Pagos!$D:$D,A222,Pagos!$I:$I,"ARS"))</f>
        <v/>
      </c>
      <c r="U222" s="13" t="str">
        <f aca="false">IF(A222="","",SUMIFS(Pagos!$H:$H,Pagos!$D:$D,A222,Pagos!$I:$I,"USD"))</f>
        <v/>
      </c>
    </row>
    <row r="223" customFormat="false" ht="15" hidden="false" customHeight="false" outlineLevel="0" collapsed="false">
      <c r="A223" s="6"/>
      <c r="B223" s="6"/>
      <c r="C223" s="6"/>
      <c r="D223" s="7"/>
      <c r="E223" s="7"/>
      <c r="F223" s="6"/>
      <c r="G223" s="7"/>
      <c r="H223" s="6"/>
      <c r="I223" s="6"/>
      <c r="J223" s="6"/>
      <c r="K223" s="9"/>
      <c r="L223" s="6"/>
      <c r="M223" s="6"/>
      <c r="N223" s="10"/>
      <c r="O223" s="6"/>
      <c r="P223" s="6"/>
      <c r="Q223" s="11" t="str">
        <f aca="false">IF(A223="","",TRIM(B223&amp;" "&amp;C223))</f>
        <v/>
      </c>
      <c r="R223" s="12" t="str">
        <f aca="false">IF(A223="","",SUMIFS(Sesiones!$F:$F,Sesiones!$C:$C,A223,Sesiones!$G:$G,"ARS")-SUMIFS(Pagos!$H:$H,Pagos!$D:$D,A223,Pagos!$I:$I,"ARS"))</f>
        <v/>
      </c>
      <c r="S223" s="13" t="str">
        <f aca="false">IF(A223="","",SUMIFS(Sesiones!$F:$F,Sesiones!$C:$C,A223,Sesiones!$G:$G,"USD")-SUMIFS(Pagos!$H:$H,Pagos!$D:$D,A223,Pagos!$I:$I,"USD"))</f>
        <v/>
      </c>
      <c r="T223" s="12" t="str">
        <f aca="false">IF(A223="","",SUMIFS(Pagos!$H:$H,Pagos!$D:$D,A223,Pagos!$I:$I,"ARS"))</f>
        <v/>
      </c>
      <c r="U223" s="13" t="str">
        <f aca="false">IF(A223="","",SUMIFS(Pagos!$H:$H,Pagos!$D:$D,A223,Pagos!$I:$I,"USD"))</f>
        <v/>
      </c>
    </row>
    <row r="224" customFormat="false" ht="15" hidden="false" customHeight="false" outlineLevel="0" collapsed="false">
      <c r="A224" s="6"/>
      <c r="B224" s="6"/>
      <c r="C224" s="6"/>
      <c r="D224" s="7"/>
      <c r="E224" s="7"/>
      <c r="F224" s="6"/>
      <c r="G224" s="7"/>
      <c r="H224" s="6"/>
      <c r="I224" s="6"/>
      <c r="J224" s="6"/>
      <c r="K224" s="9"/>
      <c r="L224" s="6"/>
      <c r="M224" s="6"/>
      <c r="N224" s="10"/>
      <c r="O224" s="6"/>
      <c r="P224" s="6"/>
      <c r="Q224" s="11" t="str">
        <f aca="false">IF(A224="","",TRIM(B224&amp;" "&amp;C224))</f>
        <v/>
      </c>
      <c r="R224" s="12" t="str">
        <f aca="false">IF(A224="","",SUMIFS(Sesiones!$F:$F,Sesiones!$C:$C,A224,Sesiones!$G:$G,"ARS")-SUMIFS(Pagos!$H:$H,Pagos!$D:$D,A224,Pagos!$I:$I,"ARS"))</f>
        <v/>
      </c>
      <c r="S224" s="13" t="str">
        <f aca="false">IF(A224="","",SUMIFS(Sesiones!$F:$F,Sesiones!$C:$C,A224,Sesiones!$G:$G,"USD")-SUMIFS(Pagos!$H:$H,Pagos!$D:$D,A224,Pagos!$I:$I,"USD"))</f>
        <v/>
      </c>
      <c r="T224" s="12" t="str">
        <f aca="false">IF(A224="","",SUMIFS(Pagos!$H:$H,Pagos!$D:$D,A224,Pagos!$I:$I,"ARS"))</f>
        <v/>
      </c>
      <c r="U224" s="13" t="str">
        <f aca="false">IF(A224="","",SUMIFS(Pagos!$H:$H,Pagos!$D:$D,A224,Pagos!$I:$I,"USD"))</f>
        <v/>
      </c>
    </row>
    <row r="225" customFormat="false" ht="15" hidden="false" customHeight="false" outlineLevel="0" collapsed="false">
      <c r="A225" s="6"/>
      <c r="B225" s="6"/>
      <c r="C225" s="6"/>
      <c r="D225" s="7"/>
      <c r="E225" s="7"/>
      <c r="F225" s="6"/>
      <c r="G225" s="7"/>
      <c r="H225" s="6"/>
      <c r="I225" s="6"/>
      <c r="J225" s="6"/>
      <c r="K225" s="9"/>
      <c r="L225" s="6"/>
      <c r="M225" s="6"/>
      <c r="N225" s="10"/>
      <c r="O225" s="6"/>
      <c r="P225" s="6"/>
      <c r="Q225" s="11" t="str">
        <f aca="false">IF(A225="","",TRIM(B225&amp;" "&amp;C225))</f>
        <v/>
      </c>
      <c r="R225" s="12" t="str">
        <f aca="false">IF(A225="","",SUMIFS(Sesiones!$F:$F,Sesiones!$C:$C,A225,Sesiones!$G:$G,"ARS")-SUMIFS(Pagos!$H:$H,Pagos!$D:$D,A225,Pagos!$I:$I,"ARS"))</f>
        <v/>
      </c>
      <c r="S225" s="13" t="str">
        <f aca="false">IF(A225="","",SUMIFS(Sesiones!$F:$F,Sesiones!$C:$C,A225,Sesiones!$G:$G,"USD")-SUMIFS(Pagos!$H:$H,Pagos!$D:$D,A225,Pagos!$I:$I,"USD"))</f>
        <v/>
      </c>
      <c r="T225" s="12" t="str">
        <f aca="false">IF(A225="","",SUMIFS(Pagos!$H:$H,Pagos!$D:$D,A225,Pagos!$I:$I,"ARS"))</f>
        <v/>
      </c>
      <c r="U225" s="13" t="str">
        <f aca="false">IF(A225="","",SUMIFS(Pagos!$H:$H,Pagos!$D:$D,A225,Pagos!$I:$I,"USD"))</f>
        <v/>
      </c>
    </row>
    <row r="226" customFormat="false" ht="15" hidden="false" customHeight="false" outlineLevel="0" collapsed="false">
      <c r="A226" s="6"/>
      <c r="B226" s="6"/>
      <c r="C226" s="6"/>
      <c r="D226" s="7"/>
      <c r="E226" s="7"/>
      <c r="F226" s="6"/>
      <c r="G226" s="7"/>
      <c r="H226" s="6"/>
      <c r="I226" s="6"/>
      <c r="J226" s="6"/>
      <c r="K226" s="9"/>
      <c r="L226" s="6"/>
      <c r="M226" s="6"/>
      <c r="N226" s="10"/>
      <c r="O226" s="6"/>
      <c r="P226" s="6"/>
      <c r="Q226" s="11" t="str">
        <f aca="false">IF(A226="","",TRIM(B226&amp;" "&amp;C226))</f>
        <v/>
      </c>
      <c r="R226" s="12" t="str">
        <f aca="false">IF(A226="","",SUMIFS(Sesiones!$F:$F,Sesiones!$C:$C,A226,Sesiones!$G:$G,"ARS")-SUMIFS(Pagos!$H:$H,Pagos!$D:$D,A226,Pagos!$I:$I,"ARS"))</f>
        <v/>
      </c>
      <c r="S226" s="13" t="str">
        <f aca="false">IF(A226="","",SUMIFS(Sesiones!$F:$F,Sesiones!$C:$C,A226,Sesiones!$G:$G,"USD")-SUMIFS(Pagos!$H:$H,Pagos!$D:$D,A226,Pagos!$I:$I,"USD"))</f>
        <v/>
      </c>
      <c r="T226" s="12" t="str">
        <f aca="false">IF(A226="","",SUMIFS(Pagos!$H:$H,Pagos!$D:$D,A226,Pagos!$I:$I,"ARS"))</f>
        <v/>
      </c>
      <c r="U226" s="13" t="str">
        <f aca="false">IF(A226="","",SUMIFS(Pagos!$H:$H,Pagos!$D:$D,A226,Pagos!$I:$I,"USD"))</f>
        <v/>
      </c>
    </row>
    <row r="227" customFormat="false" ht="15" hidden="false" customHeight="false" outlineLevel="0" collapsed="false">
      <c r="A227" s="6"/>
      <c r="B227" s="6"/>
      <c r="C227" s="6"/>
      <c r="D227" s="7"/>
      <c r="E227" s="7"/>
      <c r="F227" s="6"/>
      <c r="G227" s="7"/>
      <c r="H227" s="6"/>
      <c r="I227" s="6"/>
      <c r="J227" s="6"/>
      <c r="K227" s="9"/>
      <c r="L227" s="6"/>
      <c r="M227" s="6"/>
      <c r="N227" s="10"/>
      <c r="O227" s="6"/>
      <c r="P227" s="6"/>
      <c r="Q227" s="11" t="str">
        <f aca="false">IF(A227="","",TRIM(B227&amp;" "&amp;C227))</f>
        <v/>
      </c>
      <c r="R227" s="12" t="str">
        <f aca="false">IF(A227="","",SUMIFS(Sesiones!$F:$F,Sesiones!$C:$C,A227,Sesiones!$G:$G,"ARS")-SUMIFS(Pagos!$H:$H,Pagos!$D:$D,A227,Pagos!$I:$I,"ARS"))</f>
        <v/>
      </c>
      <c r="S227" s="13" t="str">
        <f aca="false">IF(A227="","",SUMIFS(Sesiones!$F:$F,Sesiones!$C:$C,A227,Sesiones!$G:$G,"USD")-SUMIFS(Pagos!$H:$H,Pagos!$D:$D,A227,Pagos!$I:$I,"USD"))</f>
        <v/>
      </c>
      <c r="T227" s="12" t="str">
        <f aca="false">IF(A227="","",SUMIFS(Pagos!$H:$H,Pagos!$D:$D,A227,Pagos!$I:$I,"ARS"))</f>
        <v/>
      </c>
      <c r="U227" s="13" t="str">
        <f aca="false">IF(A227="","",SUMIFS(Pagos!$H:$H,Pagos!$D:$D,A227,Pagos!$I:$I,"USD"))</f>
        <v/>
      </c>
    </row>
    <row r="228" customFormat="false" ht="15" hidden="false" customHeight="false" outlineLevel="0" collapsed="false">
      <c r="A228" s="6"/>
      <c r="B228" s="6"/>
      <c r="C228" s="6"/>
      <c r="D228" s="7"/>
      <c r="E228" s="7"/>
      <c r="F228" s="6"/>
      <c r="G228" s="7"/>
      <c r="H228" s="6"/>
      <c r="I228" s="6"/>
      <c r="J228" s="6"/>
      <c r="K228" s="9"/>
      <c r="L228" s="6"/>
      <c r="M228" s="6"/>
      <c r="N228" s="10"/>
      <c r="O228" s="6"/>
      <c r="P228" s="6"/>
      <c r="Q228" s="11" t="str">
        <f aca="false">IF(A228="","",TRIM(B228&amp;" "&amp;C228))</f>
        <v/>
      </c>
      <c r="R228" s="12" t="str">
        <f aca="false">IF(A228="","",SUMIFS(Sesiones!$F:$F,Sesiones!$C:$C,A228,Sesiones!$G:$G,"ARS")-SUMIFS(Pagos!$H:$H,Pagos!$D:$D,A228,Pagos!$I:$I,"ARS"))</f>
        <v/>
      </c>
      <c r="S228" s="13" t="str">
        <f aca="false">IF(A228="","",SUMIFS(Sesiones!$F:$F,Sesiones!$C:$C,A228,Sesiones!$G:$G,"USD")-SUMIFS(Pagos!$H:$H,Pagos!$D:$D,A228,Pagos!$I:$I,"USD"))</f>
        <v/>
      </c>
      <c r="T228" s="12" t="str">
        <f aca="false">IF(A228="","",SUMIFS(Pagos!$H:$H,Pagos!$D:$D,A228,Pagos!$I:$I,"ARS"))</f>
        <v/>
      </c>
      <c r="U228" s="13" t="str">
        <f aca="false">IF(A228="","",SUMIFS(Pagos!$H:$H,Pagos!$D:$D,A228,Pagos!$I:$I,"USD"))</f>
        <v/>
      </c>
    </row>
    <row r="229" customFormat="false" ht="15" hidden="false" customHeight="false" outlineLevel="0" collapsed="false">
      <c r="A229" s="6"/>
      <c r="B229" s="6"/>
      <c r="C229" s="6"/>
      <c r="D229" s="7"/>
      <c r="E229" s="7"/>
      <c r="F229" s="6"/>
      <c r="G229" s="7"/>
      <c r="H229" s="6"/>
      <c r="I229" s="6"/>
      <c r="J229" s="6"/>
      <c r="K229" s="9"/>
      <c r="L229" s="6"/>
      <c r="M229" s="6"/>
      <c r="N229" s="10"/>
      <c r="O229" s="6"/>
      <c r="P229" s="6"/>
      <c r="Q229" s="11" t="str">
        <f aca="false">IF(A229="","",TRIM(B229&amp;" "&amp;C229))</f>
        <v/>
      </c>
      <c r="R229" s="12" t="str">
        <f aca="false">IF(A229="","",SUMIFS(Sesiones!$F:$F,Sesiones!$C:$C,A229,Sesiones!$G:$G,"ARS")-SUMIFS(Pagos!$H:$H,Pagos!$D:$D,A229,Pagos!$I:$I,"ARS"))</f>
        <v/>
      </c>
      <c r="S229" s="13" t="str">
        <f aca="false">IF(A229="","",SUMIFS(Sesiones!$F:$F,Sesiones!$C:$C,A229,Sesiones!$G:$G,"USD")-SUMIFS(Pagos!$H:$H,Pagos!$D:$D,A229,Pagos!$I:$I,"USD"))</f>
        <v/>
      </c>
      <c r="T229" s="12" t="str">
        <f aca="false">IF(A229="","",SUMIFS(Pagos!$H:$H,Pagos!$D:$D,A229,Pagos!$I:$I,"ARS"))</f>
        <v/>
      </c>
      <c r="U229" s="13" t="str">
        <f aca="false">IF(A229="","",SUMIFS(Pagos!$H:$H,Pagos!$D:$D,A229,Pagos!$I:$I,"USD"))</f>
        <v/>
      </c>
    </row>
    <row r="230" customFormat="false" ht="15" hidden="false" customHeight="false" outlineLevel="0" collapsed="false">
      <c r="A230" s="6"/>
      <c r="B230" s="6"/>
      <c r="C230" s="6"/>
      <c r="D230" s="7"/>
      <c r="E230" s="7"/>
      <c r="F230" s="6"/>
      <c r="G230" s="7"/>
      <c r="H230" s="6"/>
      <c r="I230" s="6"/>
      <c r="J230" s="6"/>
      <c r="K230" s="9"/>
      <c r="L230" s="6"/>
      <c r="M230" s="6"/>
      <c r="N230" s="10"/>
      <c r="O230" s="6"/>
      <c r="P230" s="6"/>
      <c r="Q230" s="11" t="str">
        <f aca="false">IF(A230="","",TRIM(B230&amp;" "&amp;C230))</f>
        <v/>
      </c>
      <c r="R230" s="12" t="str">
        <f aca="false">IF(A230="","",SUMIFS(Sesiones!$F:$F,Sesiones!$C:$C,A230,Sesiones!$G:$G,"ARS")-SUMIFS(Pagos!$H:$H,Pagos!$D:$D,A230,Pagos!$I:$I,"ARS"))</f>
        <v/>
      </c>
      <c r="S230" s="13" t="str">
        <f aca="false">IF(A230="","",SUMIFS(Sesiones!$F:$F,Sesiones!$C:$C,A230,Sesiones!$G:$G,"USD")-SUMIFS(Pagos!$H:$H,Pagos!$D:$D,A230,Pagos!$I:$I,"USD"))</f>
        <v/>
      </c>
      <c r="T230" s="12" t="str">
        <f aca="false">IF(A230="","",SUMIFS(Pagos!$H:$H,Pagos!$D:$D,A230,Pagos!$I:$I,"ARS"))</f>
        <v/>
      </c>
      <c r="U230" s="13" t="str">
        <f aca="false">IF(A230="","",SUMIFS(Pagos!$H:$H,Pagos!$D:$D,A230,Pagos!$I:$I,"USD"))</f>
        <v/>
      </c>
    </row>
    <row r="231" customFormat="false" ht="15" hidden="false" customHeight="false" outlineLevel="0" collapsed="false">
      <c r="A231" s="6"/>
      <c r="B231" s="6"/>
      <c r="C231" s="6"/>
      <c r="D231" s="7"/>
      <c r="E231" s="7"/>
      <c r="F231" s="6"/>
      <c r="G231" s="7"/>
      <c r="H231" s="6"/>
      <c r="I231" s="6"/>
      <c r="J231" s="6"/>
      <c r="K231" s="9"/>
      <c r="L231" s="6"/>
      <c r="M231" s="6"/>
      <c r="N231" s="10"/>
      <c r="O231" s="6"/>
      <c r="P231" s="6"/>
      <c r="Q231" s="11" t="str">
        <f aca="false">IF(A231="","",TRIM(B231&amp;" "&amp;C231))</f>
        <v/>
      </c>
      <c r="R231" s="12" t="str">
        <f aca="false">IF(A231="","",SUMIFS(Sesiones!$F:$F,Sesiones!$C:$C,A231,Sesiones!$G:$G,"ARS")-SUMIFS(Pagos!$H:$H,Pagos!$D:$D,A231,Pagos!$I:$I,"ARS"))</f>
        <v/>
      </c>
      <c r="S231" s="13" t="str">
        <f aca="false">IF(A231="","",SUMIFS(Sesiones!$F:$F,Sesiones!$C:$C,A231,Sesiones!$G:$G,"USD")-SUMIFS(Pagos!$H:$H,Pagos!$D:$D,A231,Pagos!$I:$I,"USD"))</f>
        <v/>
      </c>
      <c r="T231" s="12" t="str">
        <f aca="false">IF(A231="","",SUMIFS(Pagos!$H:$H,Pagos!$D:$D,A231,Pagos!$I:$I,"ARS"))</f>
        <v/>
      </c>
      <c r="U231" s="13" t="str">
        <f aca="false">IF(A231="","",SUMIFS(Pagos!$H:$H,Pagos!$D:$D,A231,Pagos!$I:$I,"USD"))</f>
        <v/>
      </c>
    </row>
    <row r="232" customFormat="false" ht="15" hidden="false" customHeight="false" outlineLevel="0" collapsed="false">
      <c r="A232" s="6"/>
      <c r="B232" s="6"/>
      <c r="C232" s="6"/>
      <c r="D232" s="7"/>
      <c r="E232" s="7"/>
      <c r="F232" s="6"/>
      <c r="G232" s="7"/>
      <c r="H232" s="6"/>
      <c r="I232" s="6"/>
      <c r="J232" s="6"/>
      <c r="K232" s="9"/>
      <c r="L232" s="6"/>
      <c r="M232" s="6"/>
      <c r="N232" s="10"/>
      <c r="O232" s="6"/>
      <c r="P232" s="6"/>
      <c r="Q232" s="11" t="str">
        <f aca="false">IF(A232="","",TRIM(B232&amp;" "&amp;C232))</f>
        <v/>
      </c>
      <c r="R232" s="12" t="str">
        <f aca="false">IF(A232="","",SUMIFS(Sesiones!$F:$F,Sesiones!$C:$C,A232,Sesiones!$G:$G,"ARS")-SUMIFS(Pagos!$H:$H,Pagos!$D:$D,A232,Pagos!$I:$I,"ARS"))</f>
        <v/>
      </c>
      <c r="S232" s="13" t="str">
        <f aca="false">IF(A232="","",SUMIFS(Sesiones!$F:$F,Sesiones!$C:$C,A232,Sesiones!$G:$G,"USD")-SUMIFS(Pagos!$H:$H,Pagos!$D:$D,A232,Pagos!$I:$I,"USD"))</f>
        <v/>
      </c>
      <c r="T232" s="12" t="str">
        <f aca="false">IF(A232="","",SUMIFS(Pagos!$H:$H,Pagos!$D:$D,A232,Pagos!$I:$I,"ARS"))</f>
        <v/>
      </c>
      <c r="U232" s="13" t="str">
        <f aca="false">IF(A232="","",SUMIFS(Pagos!$H:$H,Pagos!$D:$D,A232,Pagos!$I:$I,"USD"))</f>
        <v/>
      </c>
    </row>
    <row r="233" customFormat="false" ht="15" hidden="false" customHeight="false" outlineLevel="0" collapsed="false">
      <c r="A233" s="6"/>
      <c r="B233" s="6"/>
      <c r="C233" s="6"/>
      <c r="D233" s="7"/>
      <c r="E233" s="7"/>
      <c r="F233" s="6"/>
      <c r="G233" s="7"/>
      <c r="H233" s="6"/>
      <c r="I233" s="6"/>
      <c r="J233" s="6"/>
      <c r="K233" s="9"/>
      <c r="L233" s="6"/>
      <c r="M233" s="6"/>
      <c r="N233" s="10"/>
      <c r="O233" s="6"/>
      <c r="P233" s="6"/>
      <c r="Q233" s="11" t="str">
        <f aca="false">IF(A233="","",TRIM(B233&amp;" "&amp;C233))</f>
        <v/>
      </c>
      <c r="R233" s="12" t="str">
        <f aca="false">IF(A233="","",SUMIFS(Sesiones!$F:$F,Sesiones!$C:$C,A233,Sesiones!$G:$G,"ARS")-SUMIFS(Pagos!$H:$H,Pagos!$D:$D,A233,Pagos!$I:$I,"ARS"))</f>
        <v/>
      </c>
      <c r="S233" s="13" t="str">
        <f aca="false">IF(A233="","",SUMIFS(Sesiones!$F:$F,Sesiones!$C:$C,A233,Sesiones!$G:$G,"USD")-SUMIFS(Pagos!$H:$H,Pagos!$D:$D,A233,Pagos!$I:$I,"USD"))</f>
        <v/>
      </c>
      <c r="T233" s="12" t="str">
        <f aca="false">IF(A233="","",SUMIFS(Pagos!$H:$H,Pagos!$D:$D,A233,Pagos!$I:$I,"ARS"))</f>
        <v/>
      </c>
      <c r="U233" s="13" t="str">
        <f aca="false">IF(A233="","",SUMIFS(Pagos!$H:$H,Pagos!$D:$D,A233,Pagos!$I:$I,"USD"))</f>
        <v/>
      </c>
    </row>
    <row r="234" customFormat="false" ht="15" hidden="false" customHeight="false" outlineLevel="0" collapsed="false">
      <c r="A234" s="6"/>
      <c r="B234" s="6"/>
      <c r="C234" s="6"/>
      <c r="D234" s="7"/>
      <c r="E234" s="7"/>
      <c r="F234" s="6"/>
      <c r="G234" s="7"/>
      <c r="H234" s="6"/>
      <c r="I234" s="6"/>
      <c r="J234" s="6"/>
      <c r="K234" s="9"/>
      <c r="L234" s="6"/>
      <c r="M234" s="6"/>
      <c r="N234" s="10"/>
      <c r="O234" s="6"/>
      <c r="P234" s="6"/>
      <c r="Q234" s="11" t="str">
        <f aca="false">IF(A234="","",TRIM(B234&amp;" "&amp;C234))</f>
        <v/>
      </c>
      <c r="R234" s="12" t="str">
        <f aca="false">IF(A234="","",SUMIFS(Sesiones!$F:$F,Sesiones!$C:$C,A234,Sesiones!$G:$G,"ARS")-SUMIFS(Pagos!$H:$H,Pagos!$D:$D,A234,Pagos!$I:$I,"ARS"))</f>
        <v/>
      </c>
      <c r="S234" s="13" t="str">
        <f aca="false">IF(A234="","",SUMIFS(Sesiones!$F:$F,Sesiones!$C:$C,A234,Sesiones!$G:$G,"USD")-SUMIFS(Pagos!$H:$H,Pagos!$D:$D,A234,Pagos!$I:$I,"USD"))</f>
        <v/>
      </c>
      <c r="T234" s="12" t="str">
        <f aca="false">IF(A234="","",SUMIFS(Pagos!$H:$H,Pagos!$D:$D,A234,Pagos!$I:$I,"ARS"))</f>
        <v/>
      </c>
      <c r="U234" s="13" t="str">
        <f aca="false">IF(A234="","",SUMIFS(Pagos!$H:$H,Pagos!$D:$D,A234,Pagos!$I:$I,"USD"))</f>
        <v/>
      </c>
    </row>
    <row r="235" customFormat="false" ht="15" hidden="false" customHeight="false" outlineLevel="0" collapsed="false">
      <c r="A235" s="6"/>
      <c r="B235" s="6"/>
      <c r="C235" s="6"/>
      <c r="D235" s="7"/>
      <c r="E235" s="7"/>
      <c r="F235" s="6"/>
      <c r="G235" s="7"/>
      <c r="H235" s="6"/>
      <c r="I235" s="6"/>
      <c r="J235" s="6"/>
      <c r="K235" s="9"/>
      <c r="L235" s="6"/>
      <c r="M235" s="6"/>
      <c r="N235" s="10"/>
      <c r="O235" s="6"/>
      <c r="P235" s="6"/>
      <c r="Q235" s="11" t="str">
        <f aca="false">IF(A235="","",TRIM(B235&amp;" "&amp;C235))</f>
        <v/>
      </c>
      <c r="R235" s="12" t="str">
        <f aca="false">IF(A235="","",SUMIFS(Sesiones!$F:$F,Sesiones!$C:$C,A235,Sesiones!$G:$G,"ARS")-SUMIFS(Pagos!$H:$H,Pagos!$D:$D,A235,Pagos!$I:$I,"ARS"))</f>
        <v/>
      </c>
      <c r="S235" s="13" t="str">
        <f aca="false">IF(A235="","",SUMIFS(Sesiones!$F:$F,Sesiones!$C:$C,A235,Sesiones!$G:$G,"USD")-SUMIFS(Pagos!$H:$H,Pagos!$D:$D,A235,Pagos!$I:$I,"USD"))</f>
        <v/>
      </c>
      <c r="T235" s="12" t="str">
        <f aca="false">IF(A235="","",SUMIFS(Pagos!$H:$H,Pagos!$D:$D,A235,Pagos!$I:$I,"ARS"))</f>
        <v/>
      </c>
      <c r="U235" s="13" t="str">
        <f aca="false">IF(A235="","",SUMIFS(Pagos!$H:$H,Pagos!$D:$D,A235,Pagos!$I:$I,"USD"))</f>
        <v/>
      </c>
    </row>
    <row r="236" customFormat="false" ht="15" hidden="false" customHeight="false" outlineLevel="0" collapsed="false">
      <c r="A236" s="6"/>
      <c r="B236" s="6"/>
      <c r="C236" s="6"/>
      <c r="D236" s="7"/>
      <c r="E236" s="7"/>
      <c r="F236" s="6"/>
      <c r="G236" s="7"/>
      <c r="H236" s="6"/>
      <c r="I236" s="6"/>
      <c r="J236" s="6"/>
      <c r="K236" s="9"/>
      <c r="L236" s="6"/>
      <c r="M236" s="6"/>
      <c r="N236" s="10"/>
      <c r="O236" s="6"/>
      <c r="P236" s="6"/>
      <c r="Q236" s="11" t="str">
        <f aca="false">IF(A236="","",TRIM(B236&amp;" "&amp;C236))</f>
        <v/>
      </c>
      <c r="R236" s="12" t="str">
        <f aca="false">IF(A236="","",SUMIFS(Sesiones!$F:$F,Sesiones!$C:$C,A236,Sesiones!$G:$G,"ARS")-SUMIFS(Pagos!$H:$H,Pagos!$D:$D,A236,Pagos!$I:$I,"ARS"))</f>
        <v/>
      </c>
      <c r="S236" s="13" t="str">
        <f aca="false">IF(A236="","",SUMIFS(Sesiones!$F:$F,Sesiones!$C:$C,A236,Sesiones!$G:$G,"USD")-SUMIFS(Pagos!$H:$H,Pagos!$D:$D,A236,Pagos!$I:$I,"USD"))</f>
        <v/>
      </c>
      <c r="T236" s="12" t="str">
        <f aca="false">IF(A236="","",SUMIFS(Pagos!$H:$H,Pagos!$D:$D,A236,Pagos!$I:$I,"ARS"))</f>
        <v/>
      </c>
      <c r="U236" s="13" t="str">
        <f aca="false">IF(A236="","",SUMIFS(Pagos!$H:$H,Pagos!$D:$D,A236,Pagos!$I:$I,"USD"))</f>
        <v/>
      </c>
    </row>
    <row r="237" customFormat="false" ht="15" hidden="false" customHeight="false" outlineLevel="0" collapsed="false">
      <c r="A237" s="6"/>
      <c r="B237" s="6"/>
      <c r="C237" s="6"/>
      <c r="D237" s="7"/>
      <c r="E237" s="7"/>
      <c r="F237" s="6"/>
      <c r="G237" s="7"/>
      <c r="H237" s="6"/>
      <c r="I237" s="6"/>
      <c r="J237" s="6"/>
      <c r="K237" s="9"/>
      <c r="L237" s="6"/>
      <c r="M237" s="6"/>
      <c r="N237" s="10"/>
      <c r="O237" s="6"/>
      <c r="P237" s="6"/>
      <c r="Q237" s="11" t="str">
        <f aca="false">IF(A237="","",TRIM(B237&amp;" "&amp;C237))</f>
        <v/>
      </c>
      <c r="R237" s="12" t="str">
        <f aca="false">IF(A237="","",SUMIFS(Sesiones!$F:$F,Sesiones!$C:$C,A237,Sesiones!$G:$G,"ARS")-SUMIFS(Pagos!$H:$H,Pagos!$D:$D,A237,Pagos!$I:$I,"ARS"))</f>
        <v/>
      </c>
      <c r="S237" s="13" t="str">
        <f aca="false">IF(A237="","",SUMIFS(Sesiones!$F:$F,Sesiones!$C:$C,A237,Sesiones!$G:$G,"USD")-SUMIFS(Pagos!$H:$H,Pagos!$D:$D,A237,Pagos!$I:$I,"USD"))</f>
        <v/>
      </c>
      <c r="T237" s="12" t="str">
        <f aca="false">IF(A237="","",SUMIFS(Pagos!$H:$H,Pagos!$D:$D,A237,Pagos!$I:$I,"ARS"))</f>
        <v/>
      </c>
      <c r="U237" s="13" t="str">
        <f aca="false">IF(A237="","",SUMIFS(Pagos!$H:$H,Pagos!$D:$D,A237,Pagos!$I:$I,"USD"))</f>
        <v/>
      </c>
    </row>
    <row r="238" customFormat="false" ht="15" hidden="false" customHeight="false" outlineLevel="0" collapsed="false">
      <c r="A238" s="6"/>
      <c r="B238" s="6"/>
      <c r="C238" s="6"/>
      <c r="D238" s="7"/>
      <c r="E238" s="7"/>
      <c r="F238" s="6"/>
      <c r="G238" s="7"/>
      <c r="H238" s="6"/>
      <c r="I238" s="6"/>
      <c r="J238" s="6"/>
      <c r="K238" s="9"/>
      <c r="L238" s="6"/>
      <c r="M238" s="6"/>
      <c r="N238" s="10"/>
      <c r="O238" s="6"/>
      <c r="P238" s="6"/>
      <c r="Q238" s="11" t="str">
        <f aca="false">IF(A238="","",TRIM(B238&amp;" "&amp;C238))</f>
        <v/>
      </c>
      <c r="R238" s="12" t="str">
        <f aca="false">IF(A238="","",SUMIFS(Sesiones!$F:$F,Sesiones!$C:$C,A238,Sesiones!$G:$G,"ARS")-SUMIFS(Pagos!$H:$H,Pagos!$D:$D,A238,Pagos!$I:$I,"ARS"))</f>
        <v/>
      </c>
      <c r="S238" s="13" t="str">
        <f aca="false">IF(A238="","",SUMIFS(Sesiones!$F:$F,Sesiones!$C:$C,A238,Sesiones!$G:$G,"USD")-SUMIFS(Pagos!$H:$H,Pagos!$D:$D,A238,Pagos!$I:$I,"USD"))</f>
        <v/>
      </c>
      <c r="T238" s="12" t="str">
        <f aca="false">IF(A238="","",SUMIFS(Pagos!$H:$H,Pagos!$D:$D,A238,Pagos!$I:$I,"ARS"))</f>
        <v/>
      </c>
      <c r="U238" s="13" t="str">
        <f aca="false">IF(A238="","",SUMIFS(Pagos!$H:$H,Pagos!$D:$D,A238,Pagos!$I:$I,"USD"))</f>
        <v/>
      </c>
    </row>
    <row r="239" customFormat="false" ht="15" hidden="false" customHeight="false" outlineLevel="0" collapsed="false">
      <c r="A239" s="6"/>
      <c r="B239" s="6"/>
      <c r="C239" s="6"/>
      <c r="D239" s="7"/>
      <c r="E239" s="7"/>
      <c r="F239" s="6"/>
      <c r="G239" s="7"/>
      <c r="H239" s="6"/>
      <c r="I239" s="6"/>
      <c r="J239" s="6"/>
      <c r="K239" s="9"/>
      <c r="L239" s="6"/>
      <c r="M239" s="6"/>
      <c r="N239" s="10"/>
      <c r="O239" s="6"/>
      <c r="P239" s="6"/>
      <c r="Q239" s="11" t="str">
        <f aca="false">IF(A239="","",TRIM(B239&amp;" "&amp;C239))</f>
        <v/>
      </c>
      <c r="R239" s="12" t="str">
        <f aca="false">IF(A239="","",SUMIFS(Sesiones!$F:$F,Sesiones!$C:$C,A239,Sesiones!$G:$G,"ARS")-SUMIFS(Pagos!$H:$H,Pagos!$D:$D,A239,Pagos!$I:$I,"ARS"))</f>
        <v/>
      </c>
      <c r="S239" s="13" t="str">
        <f aca="false">IF(A239="","",SUMIFS(Sesiones!$F:$F,Sesiones!$C:$C,A239,Sesiones!$G:$G,"USD")-SUMIFS(Pagos!$H:$H,Pagos!$D:$D,A239,Pagos!$I:$I,"USD"))</f>
        <v/>
      </c>
      <c r="T239" s="12" t="str">
        <f aca="false">IF(A239="","",SUMIFS(Pagos!$H:$H,Pagos!$D:$D,A239,Pagos!$I:$I,"ARS"))</f>
        <v/>
      </c>
      <c r="U239" s="13" t="str">
        <f aca="false">IF(A239="","",SUMIFS(Pagos!$H:$H,Pagos!$D:$D,A239,Pagos!$I:$I,"USD"))</f>
        <v/>
      </c>
    </row>
    <row r="240" customFormat="false" ht="15" hidden="false" customHeight="false" outlineLevel="0" collapsed="false">
      <c r="A240" s="6"/>
      <c r="B240" s="6"/>
      <c r="C240" s="6"/>
      <c r="D240" s="7"/>
      <c r="E240" s="7"/>
      <c r="F240" s="6"/>
      <c r="G240" s="7"/>
      <c r="H240" s="6"/>
      <c r="I240" s="6"/>
      <c r="J240" s="6"/>
      <c r="K240" s="9"/>
      <c r="L240" s="6"/>
      <c r="M240" s="6"/>
      <c r="N240" s="10"/>
      <c r="O240" s="6"/>
      <c r="P240" s="6"/>
      <c r="Q240" s="11" t="str">
        <f aca="false">IF(A240="","",TRIM(B240&amp;" "&amp;C240))</f>
        <v/>
      </c>
      <c r="R240" s="12" t="str">
        <f aca="false">IF(A240="","",SUMIFS(Sesiones!$F:$F,Sesiones!$C:$C,A240,Sesiones!$G:$G,"ARS")-SUMIFS(Pagos!$H:$H,Pagos!$D:$D,A240,Pagos!$I:$I,"ARS"))</f>
        <v/>
      </c>
      <c r="S240" s="13" t="str">
        <f aca="false">IF(A240="","",SUMIFS(Sesiones!$F:$F,Sesiones!$C:$C,A240,Sesiones!$G:$G,"USD")-SUMIFS(Pagos!$H:$H,Pagos!$D:$D,A240,Pagos!$I:$I,"USD"))</f>
        <v/>
      </c>
      <c r="T240" s="12" t="str">
        <f aca="false">IF(A240="","",SUMIFS(Pagos!$H:$H,Pagos!$D:$D,A240,Pagos!$I:$I,"ARS"))</f>
        <v/>
      </c>
      <c r="U240" s="13" t="str">
        <f aca="false">IF(A240="","",SUMIFS(Pagos!$H:$H,Pagos!$D:$D,A240,Pagos!$I:$I,"USD"))</f>
        <v/>
      </c>
    </row>
    <row r="241" customFormat="false" ht="15" hidden="false" customHeight="false" outlineLevel="0" collapsed="false">
      <c r="A241" s="6"/>
      <c r="B241" s="6"/>
      <c r="C241" s="6"/>
      <c r="D241" s="7"/>
      <c r="E241" s="7"/>
      <c r="F241" s="6"/>
      <c r="G241" s="7"/>
      <c r="H241" s="6"/>
      <c r="I241" s="6"/>
      <c r="J241" s="6"/>
      <c r="K241" s="9"/>
      <c r="L241" s="6"/>
      <c r="M241" s="6"/>
      <c r="N241" s="10"/>
      <c r="O241" s="6"/>
      <c r="P241" s="6"/>
      <c r="Q241" s="11" t="str">
        <f aca="false">IF(A241="","",TRIM(B241&amp;" "&amp;C241))</f>
        <v/>
      </c>
      <c r="R241" s="12" t="str">
        <f aca="false">IF(A241="","",SUMIFS(Sesiones!$F:$F,Sesiones!$C:$C,A241,Sesiones!$G:$G,"ARS")-SUMIFS(Pagos!$H:$H,Pagos!$D:$D,A241,Pagos!$I:$I,"ARS"))</f>
        <v/>
      </c>
      <c r="S241" s="13" t="str">
        <f aca="false">IF(A241="","",SUMIFS(Sesiones!$F:$F,Sesiones!$C:$C,A241,Sesiones!$G:$G,"USD")-SUMIFS(Pagos!$H:$H,Pagos!$D:$D,A241,Pagos!$I:$I,"USD"))</f>
        <v/>
      </c>
      <c r="T241" s="12" t="str">
        <f aca="false">IF(A241="","",SUMIFS(Pagos!$H:$H,Pagos!$D:$D,A241,Pagos!$I:$I,"ARS"))</f>
        <v/>
      </c>
      <c r="U241" s="13" t="str">
        <f aca="false">IF(A241="","",SUMIFS(Pagos!$H:$H,Pagos!$D:$D,A241,Pagos!$I:$I,"USD"))</f>
        <v/>
      </c>
    </row>
    <row r="242" customFormat="false" ht="15" hidden="false" customHeight="false" outlineLevel="0" collapsed="false">
      <c r="A242" s="6"/>
      <c r="B242" s="6"/>
      <c r="C242" s="6"/>
      <c r="D242" s="7"/>
      <c r="E242" s="7"/>
      <c r="F242" s="6"/>
      <c r="G242" s="7"/>
      <c r="H242" s="6"/>
      <c r="I242" s="6"/>
      <c r="J242" s="6"/>
      <c r="K242" s="9"/>
      <c r="L242" s="6"/>
      <c r="M242" s="6"/>
      <c r="N242" s="10"/>
      <c r="O242" s="6"/>
      <c r="P242" s="6"/>
      <c r="Q242" s="11" t="str">
        <f aca="false">IF(A242="","",TRIM(B242&amp;" "&amp;C242))</f>
        <v/>
      </c>
      <c r="R242" s="12" t="str">
        <f aca="false">IF(A242="","",SUMIFS(Sesiones!$F:$F,Sesiones!$C:$C,A242,Sesiones!$G:$G,"ARS")-SUMIFS(Pagos!$H:$H,Pagos!$D:$D,A242,Pagos!$I:$I,"ARS"))</f>
        <v/>
      </c>
      <c r="S242" s="13" t="str">
        <f aca="false">IF(A242="","",SUMIFS(Sesiones!$F:$F,Sesiones!$C:$C,A242,Sesiones!$G:$G,"USD")-SUMIFS(Pagos!$H:$H,Pagos!$D:$D,A242,Pagos!$I:$I,"USD"))</f>
        <v/>
      </c>
      <c r="T242" s="12" t="str">
        <f aca="false">IF(A242="","",SUMIFS(Pagos!$H:$H,Pagos!$D:$D,A242,Pagos!$I:$I,"ARS"))</f>
        <v/>
      </c>
      <c r="U242" s="13" t="str">
        <f aca="false">IF(A242="","",SUMIFS(Pagos!$H:$H,Pagos!$D:$D,A242,Pagos!$I:$I,"USD"))</f>
        <v/>
      </c>
    </row>
    <row r="243" customFormat="false" ht="15" hidden="false" customHeight="false" outlineLevel="0" collapsed="false">
      <c r="A243" s="6"/>
      <c r="B243" s="6"/>
      <c r="C243" s="6"/>
      <c r="D243" s="7"/>
      <c r="E243" s="7"/>
      <c r="F243" s="6"/>
      <c r="G243" s="7"/>
      <c r="H243" s="6"/>
      <c r="I243" s="6"/>
      <c r="J243" s="6"/>
      <c r="K243" s="9"/>
      <c r="L243" s="6"/>
      <c r="M243" s="6"/>
      <c r="N243" s="10"/>
      <c r="O243" s="6"/>
      <c r="P243" s="6"/>
      <c r="Q243" s="11" t="str">
        <f aca="false">IF(A243="","",TRIM(B243&amp;" "&amp;C243))</f>
        <v/>
      </c>
      <c r="R243" s="12" t="str">
        <f aca="false">IF(A243="","",SUMIFS(Sesiones!$F:$F,Sesiones!$C:$C,A243,Sesiones!$G:$G,"ARS")-SUMIFS(Pagos!$H:$H,Pagos!$D:$D,A243,Pagos!$I:$I,"ARS"))</f>
        <v/>
      </c>
      <c r="S243" s="13" t="str">
        <f aca="false">IF(A243="","",SUMIFS(Sesiones!$F:$F,Sesiones!$C:$C,A243,Sesiones!$G:$G,"USD")-SUMIFS(Pagos!$H:$H,Pagos!$D:$D,A243,Pagos!$I:$I,"USD"))</f>
        <v/>
      </c>
      <c r="T243" s="12" t="str">
        <f aca="false">IF(A243="","",SUMIFS(Pagos!$H:$H,Pagos!$D:$D,A243,Pagos!$I:$I,"ARS"))</f>
        <v/>
      </c>
      <c r="U243" s="13" t="str">
        <f aca="false">IF(A243="","",SUMIFS(Pagos!$H:$H,Pagos!$D:$D,A243,Pagos!$I:$I,"USD"))</f>
        <v/>
      </c>
    </row>
    <row r="244" customFormat="false" ht="15" hidden="false" customHeight="false" outlineLevel="0" collapsed="false">
      <c r="A244" s="6"/>
      <c r="B244" s="6"/>
      <c r="C244" s="6"/>
      <c r="D244" s="7"/>
      <c r="E244" s="7"/>
      <c r="F244" s="6"/>
      <c r="G244" s="7"/>
      <c r="H244" s="6"/>
      <c r="I244" s="6"/>
      <c r="J244" s="6"/>
      <c r="K244" s="9"/>
      <c r="L244" s="6"/>
      <c r="M244" s="6"/>
      <c r="N244" s="10"/>
      <c r="O244" s="6"/>
      <c r="P244" s="6"/>
      <c r="Q244" s="11" t="str">
        <f aca="false">IF(A244="","",TRIM(B244&amp;" "&amp;C244))</f>
        <v/>
      </c>
      <c r="R244" s="12" t="str">
        <f aca="false">IF(A244="","",SUMIFS(Sesiones!$F:$F,Sesiones!$C:$C,A244,Sesiones!$G:$G,"ARS")-SUMIFS(Pagos!$H:$H,Pagos!$D:$D,A244,Pagos!$I:$I,"ARS"))</f>
        <v/>
      </c>
      <c r="S244" s="13" t="str">
        <f aca="false">IF(A244="","",SUMIFS(Sesiones!$F:$F,Sesiones!$C:$C,A244,Sesiones!$G:$G,"USD")-SUMIFS(Pagos!$H:$H,Pagos!$D:$D,A244,Pagos!$I:$I,"USD"))</f>
        <v/>
      </c>
      <c r="T244" s="12" t="str">
        <f aca="false">IF(A244="","",SUMIFS(Pagos!$H:$H,Pagos!$D:$D,A244,Pagos!$I:$I,"ARS"))</f>
        <v/>
      </c>
      <c r="U244" s="13" t="str">
        <f aca="false">IF(A244="","",SUMIFS(Pagos!$H:$H,Pagos!$D:$D,A244,Pagos!$I:$I,"USD"))</f>
        <v/>
      </c>
    </row>
    <row r="245" customFormat="false" ht="15" hidden="false" customHeight="false" outlineLevel="0" collapsed="false">
      <c r="A245" s="6"/>
      <c r="B245" s="6"/>
      <c r="C245" s="6"/>
      <c r="D245" s="7"/>
      <c r="E245" s="7"/>
      <c r="F245" s="6"/>
      <c r="G245" s="7"/>
      <c r="H245" s="6"/>
      <c r="I245" s="6"/>
      <c r="J245" s="6"/>
      <c r="K245" s="9"/>
      <c r="L245" s="6"/>
      <c r="M245" s="6"/>
      <c r="N245" s="10"/>
      <c r="O245" s="6"/>
      <c r="P245" s="6"/>
      <c r="Q245" s="11" t="str">
        <f aca="false">IF(A245="","",TRIM(B245&amp;" "&amp;C245))</f>
        <v/>
      </c>
      <c r="R245" s="12" t="str">
        <f aca="false">IF(A245="","",SUMIFS(Sesiones!$F:$F,Sesiones!$C:$C,A245,Sesiones!$G:$G,"ARS")-SUMIFS(Pagos!$H:$H,Pagos!$D:$D,A245,Pagos!$I:$I,"ARS"))</f>
        <v/>
      </c>
      <c r="S245" s="13" t="str">
        <f aca="false">IF(A245="","",SUMIFS(Sesiones!$F:$F,Sesiones!$C:$C,A245,Sesiones!$G:$G,"USD")-SUMIFS(Pagos!$H:$H,Pagos!$D:$D,A245,Pagos!$I:$I,"USD"))</f>
        <v/>
      </c>
      <c r="T245" s="12" t="str">
        <f aca="false">IF(A245="","",SUMIFS(Pagos!$H:$H,Pagos!$D:$D,A245,Pagos!$I:$I,"ARS"))</f>
        <v/>
      </c>
      <c r="U245" s="13" t="str">
        <f aca="false">IF(A245="","",SUMIFS(Pagos!$H:$H,Pagos!$D:$D,A245,Pagos!$I:$I,"USD"))</f>
        <v/>
      </c>
    </row>
    <row r="246" customFormat="false" ht="15" hidden="false" customHeight="false" outlineLevel="0" collapsed="false">
      <c r="A246" s="6"/>
      <c r="B246" s="6"/>
      <c r="C246" s="6"/>
      <c r="D246" s="7"/>
      <c r="E246" s="7"/>
      <c r="F246" s="6"/>
      <c r="G246" s="7"/>
      <c r="H246" s="6"/>
      <c r="I246" s="6"/>
      <c r="J246" s="6"/>
      <c r="K246" s="9"/>
      <c r="L246" s="6"/>
      <c r="M246" s="6"/>
      <c r="N246" s="10"/>
      <c r="O246" s="6"/>
      <c r="P246" s="6"/>
      <c r="Q246" s="11" t="str">
        <f aca="false">IF(A246="","",TRIM(B246&amp;" "&amp;C246))</f>
        <v/>
      </c>
      <c r="R246" s="12" t="str">
        <f aca="false">IF(A246="","",SUMIFS(Sesiones!$F:$F,Sesiones!$C:$C,A246,Sesiones!$G:$G,"ARS")-SUMIFS(Pagos!$H:$H,Pagos!$D:$D,A246,Pagos!$I:$I,"ARS"))</f>
        <v/>
      </c>
      <c r="S246" s="13" t="str">
        <f aca="false">IF(A246="","",SUMIFS(Sesiones!$F:$F,Sesiones!$C:$C,A246,Sesiones!$G:$G,"USD")-SUMIFS(Pagos!$H:$H,Pagos!$D:$D,A246,Pagos!$I:$I,"USD"))</f>
        <v/>
      </c>
      <c r="T246" s="12" t="str">
        <f aca="false">IF(A246="","",SUMIFS(Pagos!$H:$H,Pagos!$D:$D,A246,Pagos!$I:$I,"ARS"))</f>
        <v/>
      </c>
      <c r="U246" s="13" t="str">
        <f aca="false">IF(A246="","",SUMIFS(Pagos!$H:$H,Pagos!$D:$D,A246,Pagos!$I:$I,"USD"))</f>
        <v/>
      </c>
    </row>
    <row r="247" customFormat="false" ht="15" hidden="false" customHeight="false" outlineLevel="0" collapsed="false">
      <c r="A247" s="6"/>
      <c r="B247" s="6"/>
      <c r="C247" s="6"/>
      <c r="D247" s="7"/>
      <c r="E247" s="7"/>
      <c r="F247" s="6"/>
      <c r="G247" s="7"/>
      <c r="H247" s="6"/>
      <c r="I247" s="6"/>
      <c r="J247" s="6"/>
      <c r="K247" s="9"/>
      <c r="L247" s="6"/>
      <c r="M247" s="6"/>
      <c r="N247" s="10"/>
      <c r="O247" s="6"/>
      <c r="P247" s="6"/>
      <c r="Q247" s="11" t="str">
        <f aca="false">IF(A247="","",TRIM(B247&amp;" "&amp;C247))</f>
        <v/>
      </c>
      <c r="R247" s="12" t="str">
        <f aca="false">IF(A247="","",SUMIFS(Sesiones!$F:$F,Sesiones!$C:$C,A247,Sesiones!$G:$G,"ARS")-SUMIFS(Pagos!$H:$H,Pagos!$D:$D,A247,Pagos!$I:$I,"ARS"))</f>
        <v/>
      </c>
      <c r="S247" s="13" t="str">
        <f aca="false">IF(A247="","",SUMIFS(Sesiones!$F:$F,Sesiones!$C:$C,A247,Sesiones!$G:$G,"USD")-SUMIFS(Pagos!$H:$H,Pagos!$D:$D,A247,Pagos!$I:$I,"USD"))</f>
        <v/>
      </c>
      <c r="T247" s="12" t="str">
        <f aca="false">IF(A247="","",SUMIFS(Pagos!$H:$H,Pagos!$D:$D,A247,Pagos!$I:$I,"ARS"))</f>
        <v/>
      </c>
      <c r="U247" s="13" t="str">
        <f aca="false">IF(A247="","",SUMIFS(Pagos!$H:$H,Pagos!$D:$D,A247,Pagos!$I:$I,"USD"))</f>
        <v/>
      </c>
    </row>
    <row r="248" customFormat="false" ht="15" hidden="false" customHeight="false" outlineLevel="0" collapsed="false">
      <c r="A248" s="6"/>
      <c r="B248" s="6"/>
      <c r="C248" s="6"/>
      <c r="D248" s="7"/>
      <c r="E248" s="7"/>
      <c r="F248" s="6"/>
      <c r="G248" s="7"/>
      <c r="H248" s="6"/>
      <c r="I248" s="6"/>
      <c r="J248" s="6"/>
      <c r="K248" s="9"/>
      <c r="L248" s="6"/>
      <c r="M248" s="6"/>
      <c r="N248" s="10"/>
      <c r="O248" s="6"/>
      <c r="P248" s="6"/>
      <c r="Q248" s="11" t="str">
        <f aca="false">IF(A248="","",TRIM(B248&amp;" "&amp;C248))</f>
        <v/>
      </c>
      <c r="R248" s="12" t="str">
        <f aca="false">IF(A248="","",SUMIFS(Sesiones!$F:$F,Sesiones!$C:$C,A248,Sesiones!$G:$G,"ARS")-SUMIFS(Pagos!$H:$H,Pagos!$D:$D,A248,Pagos!$I:$I,"ARS"))</f>
        <v/>
      </c>
      <c r="S248" s="13" t="str">
        <f aca="false">IF(A248="","",SUMIFS(Sesiones!$F:$F,Sesiones!$C:$C,A248,Sesiones!$G:$G,"USD")-SUMIFS(Pagos!$H:$H,Pagos!$D:$D,A248,Pagos!$I:$I,"USD"))</f>
        <v/>
      </c>
      <c r="T248" s="12" t="str">
        <f aca="false">IF(A248="","",SUMIFS(Pagos!$H:$H,Pagos!$D:$D,A248,Pagos!$I:$I,"ARS"))</f>
        <v/>
      </c>
      <c r="U248" s="13" t="str">
        <f aca="false">IF(A248="","",SUMIFS(Pagos!$H:$H,Pagos!$D:$D,A248,Pagos!$I:$I,"USD"))</f>
        <v/>
      </c>
    </row>
    <row r="249" customFormat="false" ht="15" hidden="false" customHeight="false" outlineLevel="0" collapsed="false">
      <c r="A249" s="6"/>
      <c r="B249" s="6"/>
      <c r="C249" s="6"/>
      <c r="D249" s="7"/>
      <c r="E249" s="7"/>
      <c r="F249" s="6"/>
      <c r="G249" s="7"/>
      <c r="H249" s="6"/>
      <c r="I249" s="6"/>
      <c r="J249" s="6"/>
      <c r="K249" s="9"/>
      <c r="L249" s="6"/>
      <c r="M249" s="6"/>
      <c r="N249" s="10"/>
      <c r="O249" s="6"/>
      <c r="P249" s="6"/>
      <c r="Q249" s="11" t="str">
        <f aca="false">IF(A249="","",TRIM(B249&amp;" "&amp;C249))</f>
        <v/>
      </c>
      <c r="R249" s="12" t="str">
        <f aca="false">IF(A249="","",SUMIFS(Sesiones!$F:$F,Sesiones!$C:$C,A249,Sesiones!$G:$G,"ARS")-SUMIFS(Pagos!$H:$H,Pagos!$D:$D,A249,Pagos!$I:$I,"ARS"))</f>
        <v/>
      </c>
      <c r="S249" s="13" t="str">
        <f aca="false">IF(A249="","",SUMIFS(Sesiones!$F:$F,Sesiones!$C:$C,A249,Sesiones!$G:$G,"USD")-SUMIFS(Pagos!$H:$H,Pagos!$D:$D,A249,Pagos!$I:$I,"USD"))</f>
        <v/>
      </c>
      <c r="T249" s="12" t="str">
        <f aca="false">IF(A249="","",SUMIFS(Pagos!$H:$H,Pagos!$D:$D,A249,Pagos!$I:$I,"ARS"))</f>
        <v/>
      </c>
      <c r="U249" s="13" t="str">
        <f aca="false">IF(A249="","",SUMIFS(Pagos!$H:$H,Pagos!$D:$D,A249,Pagos!$I:$I,"USD"))</f>
        <v/>
      </c>
    </row>
    <row r="250" customFormat="false" ht="15" hidden="false" customHeight="false" outlineLevel="0" collapsed="false">
      <c r="A250" s="6"/>
      <c r="B250" s="6"/>
      <c r="C250" s="6"/>
      <c r="D250" s="7"/>
      <c r="E250" s="7"/>
      <c r="F250" s="6"/>
      <c r="G250" s="7"/>
      <c r="H250" s="6"/>
      <c r="I250" s="6"/>
      <c r="J250" s="6"/>
      <c r="K250" s="9"/>
      <c r="L250" s="6"/>
      <c r="M250" s="6"/>
      <c r="N250" s="10"/>
      <c r="O250" s="6"/>
      <c r="P250" s="6"/>
      <c r="Q250" s="11" t="str">
        <f aca="false">IF(A250="","",TRIM(B250&amp;" "&amp;C250))</f>
        <v/>
      </c>
      <c r="R250" s="12" t="str">
        <f aca="false">IF(A250="","",SUMIFS(Sesiones!$F:$F,Sesiones!$C:$C,A250,Sesiones!$G:$G,"ARS")-SUMIFS(Pagos!$H:$H,Pagos!$D:$D,A250,Pagos!$I:$I,"ARS"))</f>
        <v/>
      </c>
      <c r="S250" s="13" t="str">
        <f aca="false">IF(A250="","",SUMIFS(Sesiones!$F:$F,Sesiones!$C:$C,A250,Sesiones!$G:$G,"USD")-SUMIFS(Pagos!$H:$H,Pagos!$D:$D,A250,Pagos!$I:$I,"USD"))</f>
        <v/>
      </c>
      <c r="T250" s="12" t="str">
        <f aca="false">IF(A250="","",SUMIFS(Pagos!$H:$H,Pagos!$D:$D,A250,Pagos!$I:$I,"ARS"))</f>
        <v/>
      </c>
      <c r="U250" s="13" t="str">
        <f aca="false">IF(A250="","",SUMIFS(Pagos!$H:$H,Pagos!$D:$D,A250,Pagos!$I:$I,"USD"))</f>
        <v/>
      </c>
    </row>
    <row r="251" customFormat="false" ht="15" hidden="false" customHeight="false" outlineLevel="0" collapsed="false">
      <c r="A251" s="6"/>
      <c r="B251" s="6"/>
      <c r="C251" s="6"/>
      <c r="D251" s="7"/>
      <c r="E251" s="7"/>
      <c r="F251" s="6"/>
      <c r="G251" s="7"/>
      <c r="H251" s="6"/>
      <c r="I251" s="6"/>
      <c r="J251" s="6"/>
      <c r="K251" s="9"/>
      <c r="L251" s="6"/>
      <c r="M251" s="6"/>
      <c r="N251" s="10"/>
      <c r="O251" s="6"/>
      <c r="P251" s="6"/>
      <c r="Q251" s="11" t="str">
        <f aca="false">IF(A251="","",TRIM(B251&amp;" "&amp;C251))</f>
        <v/>
      </c>
      <c r="R251" s="12" t="str">
        <f aca="false">IF(A251="","",SUMIFS(Sesiones!$F:$F,Sesiones!$C:$C,A251,Sesiones!$G:$G,"ARS")-SUMIFS(Pagos!$H:$H,Pagos!$D:$D,A251,Pagos!$I:$I,"ARS"))</f>
        <v/>
      </c>
      <c r="S251" s="13" t="str">
        <f aca="false">IF(A251="","",SUMIFS(Sesiones!$F:$F,Sesiones!$C:$C,A251,Sesiones!$G:$G,"USD")-SUMIFS(Pagos!$H:$H,Pagos!$D:$D,A251,Pagos!$I:$I,"USD"))</f>
        <v/>
      </c>
      <c r="T251" s="12" t="str">
        <f aca="false">IF(A251="","",SUMIFS(Pagos!$H:$H,Pagos!$D:$D,A251,Pagos!$I:$I,"ARS"))</f>
        <v/>
      </c>
      <c r="U251" s="13" t="str">
        <f aca="false">IF(A251="","",SUMIFS(Pagos!$H:$H,Pagos!$D:$D,A251,Pagos!$I:$I,"USD"))</f>
        <v/>
      </c>
    </row>
    <row r="252" customFormat="false" ht="15" hidden="false" customHeight="false" outlineLevel="0" collapsed="false">
      <c r="A252" s="6"/>
      <c r="B252" s="6"/>
      <c r="C252" s="6"/>
      <c r="D252" s="7"/>
      <c r="E252" s="7"/>
      <c r="F252" s="6"/>
      <c r="G252" s="7"/>
      <c r="H252" s="6"/>
      <c r="I252" s="6"/>
      <c r="J252" s="6"/>
      <c r="K252" s="9"/>
      <c r="L252" s="6"/>
      <c r="M252" s="6"/>
      <c r="N252" s="10"/>
      <c r="O252" s="6"/>
      <c r="P252" s="6"/>
      <c r="Q252" s="11" t="str">
        <f aca="false">IF(A252="","",TRIM(B252&amp;" "&amp;C252))</f>
        <v/>
      </c>
      <c r="R252" s="12" t="str">
        <f aca="false">IF(A252="","",SUMIFS(Sesiones!$F:$F,Sesiones!$C:$C,A252,Sesiones!$G:$G,"ARS")-SUMIFS(Pagos!$H:$H,Pagos!$D:$D,A252,Pagos!$I:$I,"ARS"))</f>
        <v/>
      </c>
      <c r="S252" s="13" t="str">
        <f aca="false">IF(A252="","",SUMIFS(Sesiones!$F:$F,Sesiones!$C:$C,A252,Sesiones!$G:$G,"USD")-SUMIFS(Pagos!$H:$H,Pagos!$D:$D,A252,Pagos!$I:$I,"USD"))</f>
        <v/>
      </c>
      <c r="T252" s="12" t="str">
        <f aca="false">IF(A252="","",SUMIFS(Pagos!$H:$H,Pagos!$D:$D,A252,Pagos!$I:$I,"ARS"))</f>
        <v/>
      </c>
      <c r="U252" s="13" t="str">
        <f aca="false">IF(A252="","",SUMIFS(Pagos!$H:$H,Pagos!$D:$D,A252,Pagos!$I:$I,"USD"))</f>
        <v/>
      </c>
    </row>
    <row r="253" customFormat="false" ht="15" hidden="false" customHeight="false" outlineLevel="0" collapsed="false">
      <c r="A253" s="6"/>
      <c r="B253" s="6"/>
      <c r="C253" s="6"/>
      <c r="D253" s="7"/>
      <c r="E253" s="7"/>
      <c r="F253" s="6"/>
      <c r="G253" s="7"/>
      <c r="H253" s="6"/>
      <c r="I253" s="6"/>
      <c r="J253" s="6"/>
      <c r="K253" s="9"/>
      <c r="L253" s="6"/>
      <c r="M253" s="6"/>
      <c r="N253" s="10"/>
      <c r="O253" s="6"/>
      <c r="P253" s="6"/>
      <c r="Q253" s="11" t="str">
        <f aca="false">IF(A253="","",TRIM(B253&amp;" "&amp;C253))</f>
        <v/>
      </c>
      <c r="R253" s="12" t="str">
        <f aca="false">IF(A253="","",SUMIFS(Sesiones!$F:$F,Sesiones!$C:$C,A253,Sesiones!$G:$G,"ARS")-SUMIFS(Pagos!$H:$H,Pagos!$D:$D,A253,Pagos!$I:$I,"ARS"))</f>
        <v/>
      </c>
      <c r="S253" s="13" t="str">
        <f aca="false">IF(A253="","",SUMIFS(Sesiones!$F:$F,Sesiones!$C:$C,A253,Sesiones!$G:$G,"USD")-SUMIFS(Pagos!$H:$H,Pagos!$D:$D,A253,Pagos!$I:$I,"USD"))</f>
        <v/>
      </c>
      <c r="T253" s="12" t="str">
        <f aca="false">IF(A253="","",SUMIFS(Pagos!$H:$H,Pagos!$D:$D,A253,Pagos!$I:$I,"ARS"))</f>
        <v/>
      </c>
      <c r="U253" s="13" t="str">
        <f aca="false">IF(A253="","",SUMIFS(Pagos!$H:$H,Pagos!$D:$D,A253,Pagos!$I:$I,"USD"))</f>
        <v/>
      </c>
    </row>
    <row r="254" customFormat="false" ht="15" hidden="false" customHeight="false" outlineLevel="0" collapsed="false">
      <c r="A254" s="6"/>
      <c r="B254" s="6"/>
      <c r="C254" s="6"/>
      <c r="D254" s="7"/>
      <c r="E254" s="7"/>
      <c r="F254" s="6"/>
      <c r="G254" s="7"/>
      <c r="H254" s="6"/>
      <c r="I254" s="6"/>
      <c r="J254" s="6"/>
      <c r="K254" s="9"/>
      <c r="L254" s="6"/>
      <c r="M254" s="6"/>
      <c r="N254" s="10"/>
      <c r="O254" s="6"/>
      <c r="P254" s="6"/>
      <c r="Q254" s="11" t="str">
        <f aca="false">IF(A254="","",TRIM(B254&amp;" "&amp;C254))</f>
        <v/>
      </c>
      <c r="R254" s="12" t="str">
        <f aca="false">IF(A254="","",SUMIFS(Sesiones!$F:$F,Sesiones!$C:$C,A254,Sesiones!$G:$G,"ARS")-SUMIFS(Pagos!$H:$H,Pagos!$D:$D,A254,Pagos!$I:$I,"ARS"))</f>
        <v/>
      </c>
      <c r="S254" s="13" t="str">
        <f aca="false">IF(A254="","",SUMIFS(Sesiones!$F:$F,Sesiones!$C:$C,A254,Sesiones!$G:$G,"USD")-SUMIFS(Pagos!$H:$H,Pagos!$D:$D,A254,Pagos!$I:$I,"USD"))</f>
        <v/>
      </c>
      <c r="T254" s="12" t="str">
        <f aca="false">IF(A254="","",SUMIFS(Pagos!$H:$H,Pagos!$D:$D,A254,Pagos!$I:$I,"ARS"))</f>
        <v/>
      </c>
      <c r="U254" s="13" t="str">
        <f aca="false">IF(A254="","",SUMIFS(Pagos!$H:$H,Pagos!$D:$D,A254,Pagos!$I:$I,"USD"))</f>
        <v/>
      </c>
    </row>
    <row r="255" customFormat="false" ht="15" hidden="false" customHeight="false" outlineLevel="0" collapsed="false">
      <c r="A255" s="6"/>
      <c r="B255" s="6"/>
      <c r="C255" s="6"/>
      <c r="D255" s="7"/>
      <c r="E255" s="7"/>
      <c r="F255" s="6"/>
      <c r="G255" s="7"/>
      <c r="H255" s="6"/>
      <c r="I255" s="6"/>
      <c r="J255" s="6"/>
      <c r="K255" s="9"/>
      <c r="L255" s="6"/>
      <c r="M255" s="6"/>
      <c r="N255" s="10"/>
      <c r="O255" s="6"/>
      <c r="P255" s="6"/>
      <c r="Q255" s="11" t="str">
        <f aca="false">IF(A255="","",TRIM(B255&amp;" "&amp;C255))</f>
        <v/>
      </c>
      <c r="R255" s="12" t="str">
        <f aca="false">IF(A255="","",SUMIFS(Sesiones!$F:$F,Sesiones!$C:$C,A255,Sesiones!$G:$G,"ARS")-SUMIFS(Pagos!$H:$H,Pagos!$D:$D,A255,Pagos!$I:$I,"ARS"))</f>
        <v/>
      </c>
      <c r="S255" s="13" t="str">
        <f aca="false">IF(A255="","",SUMIFS(Sesiones!$F:$F,Sesiones!$C:$C,A255,Sesiones!$G:$G,"USD")-SUMIFS(Pagos!$H:$H,Pagos!$D:$D,A255,Pagos!$I:$I,"USD"))</f>
        <v/>
      </c>
      <c r="T255" s="12" t="str">
        <f aca="false">IF(A255="","",SUMIFS(Pagos!$H:$H,Pagos!$D:$D,A255,Pagos!$I:$I,"ARS"))</f>
        <v/>
      </c>
      <c r="U255" s="13" t="str">
        <f aca="false">IF(A255="","",SUMIFS(Pagos!$H:$H,Pagos!$D:$D,A255,Pagos!$I:$I,"USD"))</f>
        <v/>
      </c>
    </row>
    <row r="256" customFormat="false" ht="15" hidden="false" customHeight="false" outlineLevel="0" collapsed="false">
      <c r="A256" s="6"/>
      <c r="B256" s="6"/>
      <c r="C256" s="6"/>
      <c r="D256" s="7"/>
      <c r="E256" s="7"/>
      <c r="F256" s="6"/>
      <c r="G256" s="7"/>
      <c r="H256" s="6"/>
      <c r="I256" s="6"/>
      <c r="J256" s="6"/>
      <c r="K256" s="9"/>
      <c r="L256" s="6"/>
      <c r="M256" s="6"/>
      <c r="N256" s="10"/>
      <c r="O256" s="6"/>
      <c r="P256" s="6"/>
      <c r="Q256" s="11" t="str">
        <f aca="false">IF(A256="","",TRIM(B256&amp;" "&amp;C256))</f>
        <v/>
      </c>
      <c r="R256" s="12" t="str">
        <f aca="false">IF(A256="","",SUMIFS(Sesiones!$F:$F,Sesiones!$C:$C,A256,Sesiones!$G:$G,"ARS")-SUMIFS(Pagos!$H:$H,Pagos!$D:$D,A256,Pagos!$I:$I,"ARS"))</f>
        <v/>
      </c>
      <c r="S256" s="13" t="str">
        <f aca="false">IF(A256="","",SUMIFS(Sesiones!$F:$F,Sesiones!$C:$C,A256,Sesiones!$G:$G,"USD")-SUMIFS(Pagos!$H:$H,Pagos!$D:$D,A256,Pagos!$I:$I,"USD"))</f>
        <v/>
      </c>
      <c r="T256" s="12" t="str">
        <f aca="false">IF(A256="","",SUMIFS(Pagos!$H:$H,Pagos!$D:$D,A256,Pagos!$I:$I,"ARS"))</f>
        <v/>
      </c>
      <c r="U256" s="13" t="str">
        <f aca="false">IF(A256="","",SUMIFS(Pagos!$H:$H,Pagos!$D:$D,A256,Pagos!$I:$I,"USD"))</f>
        <v/>
      </c>
    </row>
    <row r="257" customFormat="false" ht="15" hidden="false" customHeight="false" outlineLevel="0" collapsed="false">
      <c r="A257" s="6"/>
      <c r="B257" s="6"/>
      <c r="C257" s="6"/>
      <c r="D257" s="7"/>
      <c r="E257" s="7"/>
      <c r="F257" s="6"/>
      <c r="G257" s="7"/>
      <c r="H257" s="6"/>
      <c r="I257" s="6"/>
      <c r="J257" s="6"/>
      <c r="K257" s="9"/>
      <c r="L257" s="6"/>
      <c r="M257" s="6"/>
      <c r="N257" s="10"/>
      <c r="O257" s="6"/>
      <c r="P257" s="6"/>
      <c r="Q257" s="11" t="str">
        <f aca="false">IF(A257="","",TRIM(B257&amp;" "&amp;C257))</f>
        <v/>
      </c>
      <c r="R257" s="12" t="str">
        <f aca="false">IF(A257="","",SUMIFS(Sesiones!$F:$F,Sesiones!$C:$C,A257,Sesiones!$G:$G,"ARS")-SUMIFS(Pagos!$H:$H,Pagos!$D:$D,A257,Pagos!$I:$I,"ARS"))</f>
        <v/>
      </c>
      <c r="S257" s="13" t="str">
        <f aca="false">IF(A257="","",SUMIFS(Sesiones!$F:$F,Sesiones!$C:$C,A257,Sesiones!$G:$G,"USD")-SUMIFS(Pagos!$H:$H,Pagos!$D:$D,A257,Pagos!$I:$I,"USD"))</f>
        <v/>
      </c>
      <c r="T257" s="12" t="str">
        <f aca="false">IF(A257="","",SUMIFS(Pagos!$H:$H,Pagos!$D:$D,A257,Pagos!$I:$I,"ARS"))</f>
        <v/>
      </c>
      <c r="U257" s="13" t="str">
        <f aca="false">IF(A257="","",SUMIFS(Pagos!$H:$H,Pagos!$D:$D,A257,Pagos!$I:$I,"USD"))</f>
        <v/>
      </c>
    </row>
    <row r="258" customFormat="false" ht="15" hidden="false" customHeight="false" outlineLevel="0" collapsed="false">
      <c r="A258" s="6"/>
      <c r="B258" s="6"/>
      <c r="C258" s="6"/>
      <c r="D258" s="7"/>
      <c r="E258" s="7"/>
      <c r="F258" s="6"/>
      <c r="G258" s="7"/>
      <c r="H258" s="6"/>
      <c r="I258" s="6"/>
      <c r="J258" s="6"/>
      <c r="K258" s="9"/>
      <c r="L258" s="6"/>
      <c r="M258" s="6"/>
      <c r="N258" s="10"/>
      <c r="O258" s="6"/>
      <c r="P258" s="6"/>
      <c r="Q258" s="11" t="str">
        <f aca="false">IF(A258="","",TRIM(B258&amp;" "&amp;C258))</f>
        <v/>
      </c>
      <c r="R258" s="12" t="str">
        <f aca="false">IF(A258="","",SUMIFS(Sesiones!$F:$F,Sesiones!$C:$C,A258,Sesiones!$G:$G,"ARS")-SUMIFS(Pagos!$H:$H,Pagos!$D:$D,A258,Pagos!$I:$I,"ARS"))</f>
        <v/>
      </c>
      <c r="S258" s="13" t="str">
        <f aca="false">IF(A258="","",SUMIFS(Sesiones!$F:$F,Sesiones!$C:$C,A258,Sesiones!$G:$G,"USD")-SUMIFS(Pagos!$H:$H,Pagos!$D:$D,A258,Pagos!$I:$I,"USD"))</f>
        <v/>
      </c>
      <c r="T258" s="12" t="str">
        <f aca="false">IF(A258="","",SUMIFS(Pagos!$H:$H,Pagos!$D:$D,A258,Pagos!$I:$I,"ARS"))</f>
        <v/>
      </c>
      <c r="U258" s="13" t="str">
        <f aca="false">IF(A258="","",SUMIFS(Pagos!$H:$H,Pagos!$D:$D,A258,Pagos!$I:$I,"USD"))</f>
        <v/>
      </c>
    </row>
    <row r="259" customFormat="false" ht="15" hidden="false" customHeight="false" outlineLevel="0" collapsed="false">
      <c r="A259" s="6"/>
      <c r="B259" s="6"/>
      <c r="C259" s="6"/>
      <c r="D259" s="7"/>
      <c r="E259" s="7"/>
      <c r="F259" s="6"/>
      <c r="G259" s="7"/>
      <c r="H259" s="6"/>
      <c r="I259" s="6"/>
      <c r="J259" s="6"/>
      <c r="K259" s="9"/>
      <c r="L259" s="6"/>
      <c r="M259" s="6"/>
      <c r="N259" s="10"/>
      <c r="O259" s="6"/>
      <c r="P259" s="6"/>
      <c r="Q259" s="11" t="str">
        <f aca="false">IF(A259="","",TRIM(B259&amp;" "&amp;C259))</f>
        <v/>
      </c>
      <c r="R259" s="12" t="str">
        <f aca="false">IF(A259="","",SUMIFS(Sesiones!$F:$F,Sesiones!$C:$C,A259,Sesiones!$G:$G,"ARS")-SUMIFS(Pagos!$H:$H,Pagos!$D:$D,A259,Pagos!$I:$I,"ARS"))</f>
        <v/>
      </c>
      <c r="S259" s="13" t="str">
        <f aca="false">IF(A259="","",SUMIFS(Sesiones!$F:$F,Sesiones!$C:$C,A259,Sesiones!$G:$G,"USD")-SUMIFS(Pagos!$H:$H,Pagos!$D:$D,A259,Pagos!$I:$I,"USD"))</f>
        <v/>
      </c>
      <c r="T259" s="12" t="str">
        <f aca="false">IF(A259="","",SUMIFS(Pagos!$H:$H,Pagos!$D:$D,A259,Pagos!$I:$I,"ARS"))</f>
        <v/>
      </c>
      <c r="U259" s="13" t="str">
        <f aca="false">IF(A259="","",SUMIFS(Pagos!$H:$H,Pagos!$D:$D,A259,Pagos!$I:$I,"USD"))</f>
        <v/>
      </c>
    </row>
    <row r="260" customFormat="false" ht="15" hidden="false" customHeight="false" outlineLevel="0" collapsed="false">
      <c r="A260" s="6"/>
      <c r="B260" s="6"/>
      <c r="C260" s="6"/>
      <c r="D260" s="7"/>
      <c r="E260" s="7"/>
      <c r="F260" s="6"/>
      <c r="G260" s="7"/>
      <c r="H260" s="6"/>
      <c r="I260" s="6"/>
      <c r="J260" s="6"/>
      <c r="K260" s="9"/>
      <c r="L260" s="6"/>
      <c r="M260" s="6"/>
      <c r="N260" s="10"/>
      <c r="O260" s="6"/>
      <c r="P260" s="6"/>
      <c r="Q260" s="11" t="str">
        <f aca="false">IF(A260="","",TRIM(B260&amp;" "&amp;C260))</f>
        <v/>
      </c>
      <c r="R260" s="12" t="str">
        <f aca="false">IF(A260="","",SUMIFS(Sesiones!$F:$F,Sesiones!$C:$C,A260,Sesiones!$G:$G,"ARS")-SUMIFS(Pagos!$H:$H,Pagos!$D:$D,A260,Pagos!$I:$I,"ARS"))</f>
        <v/>
      </c>
      <c r="S260" s="13" t="str">
        <f aca="false">IF(A260="","",SUMIFS(Sesiones!$F:$F,Sesiones!$C:$C,A260,Sesiones!$G:$G,"USD")-SUMIFS(Pagos!$H:$H,Pagos!$D:$D,A260,Pagos!$I:$I,"USD"))</f>
        <v/>
      </c>
      <c r="T260" s="12" t="str">
        <f aca="false">IF(A260="","",SUMIFS(Pagos!$H:$H,Pagos!$D:$D,A260,Pagos!$I:$I,"ARS"))</f>
        <v/>
      </c>
      <c r="U260" s="13" t="str">
        <f aca="false">IF(A260="","",SUMIFS(Pagos!$H:$H,Pagos!$D:$D,A260,Pagos!$I:$I,"USD"))</f>
        <v/>
      </c>
    </row>
    <row r="261" customFormat="false" ht="15" hidden="false" customHeight="false" outlineLevel="0" collapsed="false">
      <c r="A261" s="6"/>
      <c r="B261" s="6"/>
      <c r="C261" s="6"/>
      <c r="D261" s="7"/>
      <c r="E261" s="7"/>
      <c r="F261" s="6"/>
      <c r="G261" s="7"/>
      <c r="H261" s="6"/>
      <c r="I261" s="6"/>
      <c r="J261" s="6"/>
      <c r="K261" s="9"/>
      <c r="L261" s="6"/>
      <c r="M261" s="6"/>
      <c r="N261" s="10"/>
      <c r="O261" s="6"/>
      <c r="P261" s="6"/>
      <c r="Q261" s="11" t="str">
        <f aca="false">IF(A261="","",TRIM(B261&amp;" "&amp;C261))</f>
        <v/>
      </c>
      <c r="R261" s="12" t="str">
        <f aca="false">IF(A261="","",SUMIFS(Sesiones!$F:$F,Sesiones!$C:$C,A261,Sesiones!$G:$G,"ARS")-SUMIFS(Pagos!$H:$H,Pagos!$D:$D,A261,Pagos!$I:$I,"ARS"))</f>
        <v/>
      </c>
      <c r="S261" s="13" t="str">
        <f aca="false">IF(A261="","",SUMIFS(Sesiones!$F:$F,Sesiones!$C:$C,A261,Sesiones!$G:$G,"USD")-SUMIFS(Pagos!$H:$H,Pagos!$D:$D,A261,Pagos!$I:$I,"USD"))</f>
        <v/>
      </c>
      <c r="T261" s="12" t="str">
        <f aca="false">IF(A261="","",SUMIFS(Pagos!$H:$H,Pagos!$D:$D,A261,Pagos!$I:$I,"ARS"))</f>
        <v/>
      </c>
      <c r="U261" s="13" t="str">
        <f aca="false">IF(A261="","",SUMIFS(Pagos!$H:$H,Pagos!$D:$D,A261,Pagos!$I:$I,"USD"))</f>
        <v/>
      </c>
    </row>
    <row r="262" customFormat="false" ht="15" hidden="false" customHeight="false" outlineLevel="0" collapsed="false">
      <c r="A262" s="6"/>
      <c r="B262" s="6"/>
      <c r="C262" s="6"/>
      <c r="D262" s="7"/>
      <c r="E262" s="7"/>
      <c r="F262" s="6"/>
      <c r="G262" s="7"/>
      <c r="H262" s="6"/>
      <c r="I262" s="6"/>
      <c r="J262" s="6"/>
      <c r="K262" s="9"/>
      <c r="L262" s="6"/>
      <c r="M262" s="6"/>
      <c r="N262" s="10"/>
      <c r="O262" s="6"/>
      <c r="P262" s="6"/>
      <c r="Q262" s="11" t="str">
        <f aca="false">IF(A262="","",TRIM(B262&amp;" "&amp;C262))</f>
        <v/>
      </c>
      <c r="R262" s="12" t="str">
        <f aca="false">IF(A262="","",SUMIFS(Sesiones!$F:$F,Sesiones!$C:$C,A262,Sesiones!$G:$G,"ARS")-SUMIFS(Pagos!$H:$H,Pagos!$D:$D,A262,Pagos!$I:$I,"ARS"))</f>
        <v/>
      </c>
      <c r="S262" s="13" t="str">
        <f aca="false">IF(A262="","",SUMIFS(Sesiones!$F:$F,Sesiones!$C:$C,A262,Sesiones!$G:$G,"USD")-SUMIFS(Pagos!$H:$H,Pagos!$D:$D,A262,Pagos!$I:$I,"USD"))</f>
        <v/>
      </c>
      <c r="T262" s="12" t="str">
        <f aca="false">IF(A262="","",SUMIFS(Pagos!$H:$H,Pagos!$D:$D,A262,Pagos!$I:$I,"ARS"))</f>
        <v/>
      </c>
      <c r="U262" s="13" t="str">
        <f aca="false">IF(A262="","",SUMIFS(Pagos!$H:$H,Pagos!$D:$D,A262,Pagos!$I:$I,"USD"))</f>
        <v/>
      </c>
    </row>
    <row r="263" customFormat="false" ht="15" hidden="false" customHeight="false" outlineLevel="0" collapsed="false">
      <c r="A263" s="6"/>
      <c r="B263" s="6"/>
      <c r="C263" s="6"/>
      <c r="D263" s="7"/>
      <c r="E263" s="7"/>
      <c r="F263" s="6"/>
      <c r="G263" s="7"/>
      <c r="H263" s="6"/>
      <c r="I263" s="6"/>
      <c r="J263" s="6"/>
      <c r="K263" s="9"/>
      <c r="L263" s="6"/>
      <c r="M263" s="6"/>
      <c r="N263" s="10"/>
      <c r="O263" s="6"/>
      <c r="P263" s="6"/>
      <c r="Q263" s="11" t="str">
        <f aca="false">IF(A263="","",TRIM(B263&amp;" "&amp;C263))</f>
        <v/>
      </c>
      <c r="R263" s="12" t="str">
        <f aca="false">IF(A263="","",SUMIFS(Sesiones!$F:$F,Sesiones!$C:$C,A263,Sesiones!$G:$G,"ARS")-SUMIFS(Pagos!$H:$H,Pagos!$D:$D,A263,Pagos!$I:$I,"ARS"))</f>
        <v/>
      </c>
      <c r="S263" s="13" t="str">
        <f aca="false">IF(A263="","",SUMIFS(Sesiones!$F:$F,Sesiones!$C:$C,A263,Sesiones!$G:$G,"USD")-SUMIFS(Pagos!$H:$H,Pagos!$D:$D,A263,Pagos!$I:$I,"USD"))</f>
        <v/>
      </c>
      <c r="T263" s="12" t="str">
        <f aca="false">IF(A263="","",SUMIFS(Pagos!$H:$H,Pagos!$D:$D,A263,Pagos!$I:$I,"ARS"))</f>
        <v/>
      </c>
      <c r="U263" s="13" t="str">
        <f aca="false">IF(A263="","",SUMIFS(Pagos!$H:$H,Pagos!$D:$D,A263,Pagos!$I:$I,"USD"))</f>
        <v/>
      </c>
    </row>
    <row r="264" customFormat="false" ht="15" hidden="false" customHeight="false" outlineLevel="0" collapsed="false">
      <c r="A264" s="6"/>
      <c r="B264" s="6"/>
      <c r="C264" s="6"/>
      <c r="D264" s="7"/>
      <c r="E264" s="7"/>
      <c r="F264" s="6"/>
      <c r="G264" s="7"/>
      <c r="H264" s="6"/>
      <c r="I264" s="6"/>
      <c r="J264" s="6"/>
      <c r="K264" s="9"/>
      <c r="L264" s="6"/>
      <c r="M264" s="6"/>
      <c r="N264" s="10"/>
      <c r="O264" s="6"/>
      <c r="P264" s="6"/>
      <c r="Q264" s="11" t="str">
        <f aca="false">IF(A264="","",TRIM(B264&amp;" "&amp;C264))</f>
        <v/>
      </c>
      <c r="R264" s="12" t="str">
        <f aca="false">IF(A264="","",SUMIFS(Sesiones!$F:$F,Sesiones!$C:$C,A264,Sesiones!$G:$G,"ARS")-SUMIFS(Pagos!$H:$H,Pagos!$D:$D,A264,Pagos!$I:$I,"ARS"))</f>
        <v/>
      </c>
      <c r="S264" s="13" t="str">
        <f aca="false">IF(A264="","",SUMIFS(Sesiones!$F:$F,Sesiones!$C:$C,A264,Sesiones!$G:$G,"USD")-SUMIFS(Pagos!$H:$H,Pagos!$D:$D,A264,Pagos!$I:$I,"USD"))</f>
        <v/>
      </c>
      <c r="T264" s="12" t="str">
        <f aca="false">IF(A264="","",SUMIFS(Pagos!$H:$H,Pagos!$D:$D,A264,Pagos!$I:$I,"ARS"))</f>
        <v/>
      </c>
      <c r="U264" s="13" t="str">
        <f aca="false">IF(A264="","",SUMIFS(Pagos!$H:$H,Pagos!$D:$D,A264,Pagos!$I:$I,"USD"))</f>
        <v/>
      </c>
    </row>
    <row r="265" customFormat="false" ht="15" hidden="false" customHeight="false" outlineLevel="0" collapsed="false">
      <c r="A265" s="6"/>
      <c r="B265" s="6"/>
      <c r="C265" s="6"/>
      <c r="D265" s="7"/>
      <c r="E265" s="7"/>
      <c r="F265" s="6"/>
      <c r="G265" s="7"/>
      <c r="H265" s="6"/>
      <c r="I265" s="6"/>
      <c r="J265" s="6"/>
      <c r="K265" s="9"/>
      <c r="L265" s="6"/>
      <c r="M265" s="6"/>
      <c r="N265" s="10"/>
      <c r="O265" s="6"/>
      <c r="P265" s="6"/>
      <c r="Q265" s="11" t="str">
        <f aca="false">IF(A265="","",TRIM(B265&amp;" "&amp;C265))</f>
        <v/>
      </c>
      <c r="R265" s="12" t="str">
        <f aca="false">IF(A265="","",SUMIFS(Sesiones!$F:$F,Sesiones!$C:$C,A265,Sesiones!$G:$G,"ARS")-SUMIFS(Pagos!$H:$H,Pagos!$D:$D,A265,Pagos!$I:$I,"ARS"))</f>
        <v/>
      </c>
      <c r="S265" s="13" t="str">
        <f aca="false">IF(A265="","",SUMIFS(Sesiones!$F:$F,Sesiones!$C:$C,A265,Sesiones!$G:$G,"USD")-SUMIFS(Pagos!$H:$H,Pagos!$D:$D,A265,Pagos!$I:$I,"USD"))</f>
        <v/>
      </c>
      <c r="T265" s="12" t="str">
        <f aca="false">IF(A265="","",SUMIFS(Pagos!$H:$H,Pagos!$D:$D,A265,Pagos!$I:$I,"ARS"))</f>
        <v/>
      </c>
      <c r="U265" s="13" t="str">
        <f aca="false">IF(A265="","",SUMIFS(Pagos!$H:$H,Pagos!$D:$D,A265,Pagos!$I:$I,"USD"))</f>
        <v/>
      </c>
    </row>
    <row r="266" customFormat="false" ht="15" hidden="false" customHeight="false" outlineLevel="0" collapsed="false">
      <c r="A266" s="6"/>
      <c r="B266" s="6"/>
      <c r="C266" s="6"/>
      <c r="D266" s="7"/>
      <c r="E266" s="7"/>
      <c r="F266" s="6"/>
      <c r="G266" s="7"/>
      <c r="H266" s="6"/>
      <c r="I266" s="6"/>
      <c r="J266" s="6"/>
      <c r="K266" s="9"/>
      <c r="L266" s="6"/>
      <c r="M266" s="6"/>
      <c r="N266" s="10"/>
      <c r="O266" s="6"/>
      <c r="P266" s="6"/>
      <c r="Q266" s="11" t="str">
        <f aca="false">IF(A266="","",TRIM(B266&amp;" "&amp;C266))</f>
        <v/>
      </c>
      <c r="R266" s="12" t="str">
        <f aca="false">IF(A266="","",SUMIFS(Sesiones!$F:$F,Sesiones!$C:$C,A266,Sesiones!$G:$G,"ARS")-SUMIFS(Pagos!$H:$H,Pagos!$D:$D,A266,Pagos!$I:$I,"ARS"))</f>
        <v/>
      </c>
      <c r="S266" s="13" t="str">
        <f aca="false">IF(A266="","",SUMIFS(Sesiones!$F:$F,Sesiones!$C:$C,A266,Sesiones!$G:$G,"USD")-SUMIFS(Pagos!$H:$H,Pagos!$D:$D,A266,Pagos!$I:$I,"USD"))</f>
        <v/>
      </c>
      <c r="T266" s="12" t="str">
        <f aca="false">IF(A266="","",SUMIFS(Pagos!$H:$H,Pagos!$D:$D,A266,Pagos!$I:$I,"ARS"))</f>
        <v/>
      </c>
      <c r="U266" s="13" t="str">
        <f aca="false">IF(A266="","",SUMIFS(Pagos!$H:$H,Pagos!$D:$D,A266,Pagos!$I:$I,"USD"))</f>
        <v/>
      </c>
    </row>
    <row r="267" customFormat="false" ht="15" hidden="false" customHeight="false" outlineLevel="0" collapsed="false">
      <c r="A267" s="6"/>
      <c r="B267" s="6"/>
      <c r="C267" s="6"/>
      <c r="D267" s="7"/>
      <c r="E267" s="7"/>
      <c r="F267" s="6"/>
      <c r="G267" s="7"/>
      <c r="H267" s="6"/>
      <c r="I267" s="6"/>
      <c r="J267" s="6"/>
      <c r="K267" s="9"/>
      <c r="L267" s="6"/>
      <c r="M267" s="6"/>
      <c r="N267" s="10"/>
      <c r="O267" s="6"/>
      <c r="P267" s="6"/>
      <c r="Q267" s="11" t="str">
        <f aca="false">IF(A267="","",TRIM(B267&amp;" "&amp;C267))</f>
        <v/>
      </c>
      <c r="R267" s="12" t="str">
        <f aca="false">IF(A267="","",SUMIFS(Sesiones!$F:$F,Sesiones!$C:$C,A267,Sesiones!$G:$G,"ARS")-SUMIFS(Pagos!$H:$H,Pagos!$D:$D,A267,Pagos!$I:$I,"ARS"))</f>
        <v/>
      </c>
      <c r="S267" s="13" t="str">
        <f aca="false">IF(A267="","",SUMIFS(Sesiones!$F:$F,Sesiones!$C:$C,A267,Sesiones!$G:$G,"USD")-SUMIFS(Pagos!$H:$H,Pagos!$D:$D,A267,Pagos!$I:$I,"USD"))</f>
        <v/>
      </c>
      <c r="T267" s="12" t="str">
        <f aca="false">IF(A267="","",SUMIFS(Pagos!$H:$H,Pagos!$D:$D,A267,Pagos!$I:$I,"ARS"))</f>
        <v/>
      </c>
      <c r="U267" s="13" t="str">
        <f aca="false">IF(A267="","",SUMIFS(Pagos!$H:$H,Pagos!$D:$D,A267,Pagos!$I:$I,"USD"))</f>
        <v/>
      </c>
    </row>
    <row r="268" customFormat="false" ht="15" hidden="false" customHeight="false" outlineLevel="0" collapsed="false">
      <c r="A268" s="6"/>
      <c r="B268" s="6"/>
      <c r="C268" s="6"/>
      <c r="D268" s="7"/>
      <c r="E268" s="7"/>
      <c r="F268" s="6"/>
      <c r="G268" s="7"/>
      <c r="H268" s="6"/>
      <c r="I268" s="6"/>
      <c r="J268" s="6"/>
      <c r="K268" s="9"/>
      <c r="L268" s="6"/>
      <c r="M268" s="6"/>
      <c r="N268" s="10"/>
      <c r="O268" s="6"/>
      <c r="P268" s="6"/>
      <c r="Q268" s="11" t="str">
        <f aca="false">IF(A268="","",TRIM(B268&amp;" "&amp;C268))</f>
        <v/>
      </c>
      <c r="R268" s="12" t="str">
        <f aca="false">IF(A268="","",SUMIFS(Sesiones!$F:$F,Sesiones!$C:$C,A268,Sesiones!$G:$G,"ARS")-SUMIFS(Pagos!$H:$H,Pagos!$D:$D,A268,Pagos!$I:$I,"ARS"))</f>
        <v/>
      </c>
      <c r="S268" s="13" t="str">
        <f aca="false">IF(A268="","",SUMIFS(Sesiones!$F:$F,Sesiones!$C:$C,A268,Sesiones!$G:$G,"USD")-SUMIFS(Pagos!$H:$H,Pagos!$D:$D,A268,Pagos!$I:$I,"USD"))</f>
        <v/>
      </c>
      <c r="T268" s="12" t="str">
        <f aca="false">IF(A268="","",SUMIFS(Pagos!$H:$H,Pagos!$D:$D,A268,Pagos!$I:$I,"ARS"))</f>
        <v/>
      </c>
      <c r="U268" s="13" t="str">
        <f aca="false">IF(A268="","",SUMIFS(Pagos!$H:$H,Pagos!$D:$D,A268,Pagos!$I:$I,"USD"))</f>
        <v/>
      </c>
    </row>
    <row r="269" customFormat="false" ht="15" hidden="false" customHeight="false" outlineLevel="0" collapsed="false">
      <c r="A269" s="6"/>
      <c r="B269" s="6"/>
      <c r="C269" s="6"/>
      <c r="D269" s="7"/>
      <c r="E269" s="7"/>
      <c r="F269" s="6"/>
      <c r="G269" s="7"/>
      <c r="H269" s="6"/>
      <c r="I269" s="6"/>
      <c r="J269" s="6"/>
      <c r="K269" s="9"/>
      <c r="L269" s="6"/>
      <c r="M269" s="6"/>
      <c r="N269" s="10"/>
      <c r="O269" s="6"/>
      <c r="P269" s="6"/>
      <c r="Q269" s="11" t="str">
        <f aca="false">IF(A269="","",TRIM(B269&amp;" "&amp;C269))</f>
        <v/>
      </c>
      <c r="R269" s="12" t="str">
        <f aca="false">IF(A269="","",SUMIFS(Sesiones!$F:$F,Sesiones!$C:$C,A269,Sesiones!$G:$G,"ARS")-SUMIFS(Pagos!$H:$H,Pagos!$D:$D,A269,Pagos!$I:$I,"ARS"))</f>
        <v/>
      </c>
      <c r="S269" s="13" t="str">
        <f aca="false">IF(A269="","",SUMIFS(Sesiones!$F:$F,Sesiones!$C:$C,A269,Sesiones!$G:$G,"USD")-SUMIFS(Pagos!$H:$H,Pagos!$D:$D,A269,Pagos!$I:$I,"USD"))</f>
        <v/>
      </c>
      <c r="T269" s="12" t="str">
        <f aca="false">IF(A269="","",SUMIFS(Pagos!$H:$H,Pagos!$D:$D,A269,Pagos!$I:$I,"ARS"))</f>
        <v/>
      </c>
      <c r="U269" s="13" t="str">
        <f aca="false">IF(A269="","",SUMIFS(Pagos!$H:$H,Pagos!$D:$D,A269,Pagos!$I:$I,"USD"))</f>
        <v/>
      </c>
    </row>
    <row r="270" customFormat="false" ht="15" hidden="false" customHeight="false" outlineLevel="0" collapsed="false">
      <c r="A270" s="6"/>
      <c r="B270" s="6"/>
      <c r="C270" s="6"/>
      <c r="D270" s="7"/>
      <c r="E270" s="7"/>
      <c r="F270" s="6"/>
      <c r="G270" s="7"/>
      <c r="H270" s="6"/>
      <c r="I270" s="6"/>
      <c r="J270" s="6"/>
      <c r="K270" s="9"/>
      <c r="L270" s="6"/>
      <c r="M270" s="6"/>
      <c r="N270" s="10"/>
      <c r="O270" s="6"/>
      <c r="P270" s="6"/>
      <c r="Q270" s="11" t="str">
        <f aca="false">IF(A270="","",TRIM(B270&amp;" "&amp;C270))</f>
        <v/>
      </c>
      <c r="R270" s="12" t="str">
        <f aca="false">IF(A270="","",SUMIFS(Sesiones!$F:$F,Sesiones!$C:$C,A270,Sesiones!$G:$G,"ARS")-SUMIFS(Pagos!$H:$H,Pagos!$D:$D,A270,Pagos!$I:$I,"ARS"))</f>
        <v/>
      </c>
      <c r="S270" s="13" t="str">
        <f aca="false">IF(A270="","",SUMIFS(Sesiones!$F:$F,Sesiones!$C:$C,A270,Sesiones!$G:$G,"USD")-SUMIFS(Pagos!$H:$H,Pagos!$D:$D,A270,Pagos!$I:$I,"USD"))</f>
        <v/>
      </c>
      <c r="T270" s="12" t="str">
        <f aca="false">IF(A270="","",SUMIFS(Pagos!$H:$H,Pagos!$D:$D,A270,Pagos!$I:$I,"ARS"))</f>
        <v/>
      </c>
      <c r="U270" s="13" t="str">
        <f aca="false">IF(A270="","",SUMIFS(Pagos!$H:$H,Pagos!$D:$D,A270,Pagos!$I:$I,"USD"))</f>
        <v/>
      </c>
    </row>
    <row r="271" customFormat="false" ht="15" hidden="false" customHeight="false" outlineLevel="0" collapsed="false">
      <c r="A271" s="6"/>
      <c r="B271" s="6"/>
      <c r="C271" s="6"/>
      <c r="D271" s="7"/>
      <c r="E271" s="7"/>
      <c r="F271" s="6"/>
      <c r="G271" s="7"/>
      <c r="H271" s="6"/>
      <c r="I271" s="6"/>
      <c r="J271" s="6"/>
      <c r="K271" s="9"/>
      <c r="L271" s="6"/>
      <c r="M271" s="6"/>
      <c r="N271" s="10"/>
      <c r="O271" s="6"/>
      <c r="P271" s="6"/>
      <c r="Q271" s="11" t="str">
        <f aca="false">IF(A271="","",TRIM(B271&amp;" "&amp;C271))</f>
        <v/>
      </c>
      <c r="R271" s="12" t="str">
        <f aca="false">IF(A271="","",SUMIFS(Sesiones!$F:$F,Sesiones!$C:$C,A271,Sesiones!$G:$G,"ARS")-SUMIFS(Pagos!$H:$H,Pagos!$D:$D,A271,Pagos!$I:$I,"ARS"))</f>
        <v/>
      </c>
      <c r="S271" s="13" t="str">
        <f aca="false">IF(A271="","",SUMIFS(Sesiones!$F:$F,Sesiones!$C:$C,A271,Sesiones!$G:$G,"USD")-SUMIFS(Pagos!$H:$H,Pagos!$D:$D,A271,Pagos!$I:$I,"USD"))</f>
        <v/>
      </c>
      <c r="T271" s="12" t="str">
        <f aca="false">IF(A271="","",SUMIFS(Pagos!$H:$H,Pagos!$D:$D,A271,Pagos!$I:$I,"ARS"))</f>
        <v/>
      </c>
      <c r="U271" s="13" t="str">
        <f aca="false">IF(A271="","",SUMIFS(Pagos!$H:$H,Pagos!$D:$D,A271,Pagos!$I:$I,"USD"))</f>
        <v/>
      </c>
    </row>
    <row r="272" customFormat="false" ht="15" hidden="false" customHeight="false" outlineLevel="0" collapsed="false">
      <c r="A272" s="6"/>
      <c r="B272" s="6"/>
      <c r="C272" s="6"/>
      <c r="D272" s="7"/>
      <c r="E272" s="7"/>
      <c r="F272" s="6"/>
      <c r="G272" s="7"/>
      <c r="H272" s="6"/>
      <c r="I272" s="6"/>
      <c r="J272" s="6"/>
      <c r="K272" s="9"/>
      <c r="L272" s="6"/>
      <c r="M272" s="6"/>
      <c r="N272" s="10"/>
      <c r="O272" s="6"/>
      <c r="P272" s="6"/>
      <c r="Q272" s="11" t="str">
        <f aca="false">IF(A272="","",TRIM(B272&amp;" "&amp;C272))</f>
        <v/>
      </c>
      <c r="R272" s="12" t="str">
        <f aca="false">IF(A272="","",SUMIFS(Sesiones!$F:$F,Sesiones!$C:$C,A272,Sesiones!$G:$G,"ARS")-SUMIFS(Pagos!$H:$H,Pagos!$D:$D,A272,Pagos!$I:$I,"ARS"))</f>
        <v/>
      </c>
      <c r="S272" s="13" t="str">
        <f aca="false">IF(A272="","",SUMIFS(Sesiones!$F:$F,Sesiones!$C:$C,A272,Sesiones!$G:$G,"USD")-SUMIFS(Pagos!$H:$H,Pagos!$D:$D,A272,Pagos!$I:$I,"USD"))</f>
        <v/>
      </c>
      <c r="T272" s="12" t="str">
        <f aca="false">IF(A272="","",SUMIFS(Pagos!$H:$H,Pagos!$D:$D,A272,Pagos!$I:$I,"ARS"))</f>
        <v/>
      </c>
      <c r="U272" s="13" t="str">
        <f aca="false">IF(A272="","",SUMIFS(Pagos!$H:$H,Pagos!$D:$D,A272,Pagos!$I:$I,"USD"))</f>
        <v/>
      </c>
    </row>
    <row r="273" customFormat="false" ht="15" hidden="false" customHeight="false" outlineLevel="0" collapsed="false">
      <c r="A273" s="6"/>
      <c r="B273" s="6"/>
      <c r="C273" s="6"/>
      <c r="D273" s="7"/>
      <c r="E273" s="7"/>
      <c r="F273" s="6"/>
      <c r="G273" s="7"/>
      <c r="H273" s="6"/>
      <c r="I273" s="6"/>
      <c r="J273" s="6"/>
      <c r="K273" s="9"/>
      <c r="L273" s="6"/>
      <c r="M273" s="6"/>
      <c r="N273" s="10"/>
      <c r="O273" s="6"/>
      <c r="P273" s="6"/>
      <c r="Q273" s="11" t="str">
        <f aca="false">IF(A273="","",TRIM(B273&amp;" "&amp;C273))</f>
        <v/>
      </c>
      <c r="R273" s="12" t="str">
        <f aca="false">IF(A273="","",SUMIFS(Sesiones!$F:$F,Sesiones!$C:$C,A273,Sesiones!$G:$G,"ARS")-SUMIFS(Pagos!$H:$H,Pagos!$D:$D,A273,Pagos!$I:$I,"ARS"))</f>
        <v/>
      </c>
      <c r="S273" s="13" t="str">
        <f aca="false">IF(A273="","",SUMIFS(Sesiones!$F:$F,Sesiones!$C:$C,A273,Sesiones!$G:$G,"USD")-SUMIFS(Pagos!$H:$H,Pagos!$D:$D,A273,Pagos!$I:$I,"USD"))</f>
        <v/>
      </c>
      <c r="T273" s="12" t="str">
        <f aca="false">IF(A273="","",SUMIFS(Pagos!$H:$H,Pagos!$D:$D,A273,Pagos!$I:$I,"ARS"))</f>
        <v/>
      </c>
      <c r="U273" s="13" t="str">
        <f aca="false">IF(A273="","",SUMIFS(Pagos!$H:$H,Pagos!$D:$D,A273,Pagos!$I:$I,"USD"))</f>
        <v/>
      </c>
    </row>
    <row r="274" customFormat="false" ht="15" hidden="false" customHeight="false" outlineLevel="0" collapsed="false">
      <c r="A274" s="6"/>
      <c r="B274" s="6"/>
      <c r="C274" s="6"/>
      <c r="D274" s="7"/>
      <c r="E274" s="7"/>
      <c r="F274" s="6"/>
      <c r="G274" s="7"/>
      <c r="H274" s="6"/>
      <c r="I274" s="6"/>
      <c r="J274" s="6"/>
      <c r="K274" s="9"/>
      <c r="L274" s="6"/>
      <c r="M274" s="6"/>
      <c r="N274" s="10"/>
      <c r="O274" s="6"/>
      <c r="P274" s="6"/>
      <c r="Q274" s="11" t="str">
        <f aca="false">IF(A274="","",TRIM(B274&amp;" "&amp;C274))</f>
        <v/>
      </c>
      <c r="R274" s="12" t="str">
        <f aca="false">IF(A274="","",SUMIFS(Sesiones!$F:$F,Sesiones!$C:$C,A274,Sesiones!$G:$G,"ARS")-SUMIFS(Pagos!$H:$H,Pagos!$D:$D,A274,Pagos!$I:$I,"ARS"))</f>
        <v/>
      </c>
      <c r="S274" s="13" t="str">
        <f aca="false">IF(A274="","",SUMIFS(Sesiones!$F:$F,Sesiones!$C:$C,A274,Sesiones!$G:$G,"USD")-SUMIFS(Pagos!$H:$H,Pagos!$D:$D,A274,Pagos!$I:$I,"USD"))</f>
        <v/>
      </c>
      <c r="T274" s="12" t="str">
        <f aca="false">IF(A274="","",SUMIFS(Pagos!$H:$H,Pagos!$D:$D,A274,Pagos!$I:$I,"ARS"))</f>
        <v/>
      </c>
      <c r="U274" s="13" t="str">
        <f aca="false">IF(A274="","",SUMIFS(Pagos!$H:$H,Pagos!$D:$D,A274,Pagos!$I:$I,"USD"))</f>
        <v/>
      </c>
    </row>
    <row r="275" customFormat="false" ht="15" hidden="false" customHeight="false" outlineLevel="0" collapsed="false">
      <c r="A275" s="6"/>
      <c r="B275" s="6"/>
      <c r="C275" s="6"/>
      <c r="D275" s="7"/>
      <c r="E275" s="7"/>
      <c r="F275" s="6"/>
      <c r="G275" s="7"/>
      <c r="H275" s="6"/>
      <c r="I275" s="6"/>
      <c r="J275" s="6"/>
      <c r="K275" s="9"/>
      <c r="L275" s="6"/>
      <c r="M275" s="6"/>
      <c r="N275" s="10"/>
      <c r="O275" s="6"/>
      <c r="P275" s="6"/>
      <c r="Q275" s="11" t="str">
        <f aca="false">IF(A275="","",TRIM(B275&amp;" "&amp;C275))</f>
        <v/>
      </c>
      <c r="R275" s="12" t="str">
        <f aca="false">IF(A275="","",SUMIFS(Sesiones!$F:$F,Sesiones!$C:$C,A275,Sesiones!$G:$G,"ARS")-SUMIFS(Pagos!$H:$H,Pagos!$D:$D,A275,Pagos!$I:$I,"ARS"))</f>
        <v/>
      </c>
      <c r="S275" s="13" t="str">
        <f aca="false">IF(A275="","",SUMIFS(Sesiones!$F:$F,Sesiones!$C:$C,A275,Sesiones!$G:$G,"USD")-SUMIFS(Pagos!$H:$H,Pagos!$D:$D,A275,Pagos!$I:$I,"USD"))</f>
        <v/>
      </c>
      <c r="T275" s="12" t="str">
        <f aca="false">IF(A275="","",SUMIFS(Pagos!$H:$H,Pagos!$D:$D,A275,Pagos!$I:$I,"ARS"))</f>
        <v/>
      </c>
      <c r="U275" s="13" t="str">
        <f aca="false">IF(A275="","",SUMIFS(Pagos!$H:$H,Pagos!$D:$D,A275,Pagos!$I:$I,"USD"))</f>
        <v/>
      </c>
    </row>
    <row r="276" customFormat="false" ht="15" hidden="false" customHeight="false" outlineLevel="0" collapsed="false">
      <c r="A276" s="6"/>
      <c r="B276" s="6"/>
      <c r="C276" s="6"/>
      <c r="D276" s="7"/>
      <c r="E276" s="7"/>
      <c r="F276" s="6"/>
      <c r="G276" s="7"/>
      <c r="H276" s="6"/>
      <c r="I276" s="6"/>
      <c r="J276" s="6"/>
      <c r="K276" s="9"/>
      <c r="L276" s="6"/>
      <c r="M276" s="6"/>
      <c r="N276" s="10"/>
      <c r="O276" s="6"/>
      <c r="P276" s="6"/>
      <c r="Q276" s="11" t="str">
        <f aca="false">IF(A276="","",TRIM(B276&amp;" "&amp;C276))</f>
        <v/>
      </c>
      <c r="R276" s="12" t="str">
        <f aca="false">IF(A276="","",SUMIFS(Sesiones!$F:$F,Sesiones!$C:$C,A276,Sesiones!$G:$G,"ARS")-SUMIFS(Pagos!$H:$H,Pagos!$D:$D,A276,Pagos!$I:$I,"ARS"))</f>
        <v/>
      </c>
      <c r="S276" s="13" t="str">
        <f aca="false">IF(A276="","",SUMIFS(Sesiones!$F:$F,Sesiones!$C:$C,A276,Sesiones!$G:$G,"USD")-SUMIFS(Pagos!$H:$H,Pagos!$D:$D,A276,Pagos!$I:$I,"USD"))</f>
        <v/>
      </c>
      <c r="T276" s="12" t="str">
        <f aca="false">IF(A276="","",SUMIFS(Pagos!$H:$H,Pagos!$D:$D,A276,Pagos!$I:$I,"ARS"))</f>
        <v/>
      </c>
      <c r="U276" s="13" t="str">
        <f aca="false">IF(A276="","",SUMIFS(Pagos!$H:$H,Pagos!$D:$D,A276,Pagos!$I:$I,"USD"))</f>
        <v/>
      </c>
    </row>
    <row r="277" customFormat="false" ht="15" hidden="false" customHeight="false" outlineLevel="0" collapsed="false">
      <c r="A277" s="6"/>
      <c r="B277" s="6"/>
      <c r="C277" s="6"/>
      <c r="D277" s="7"/>
      <c r="E277" s="7"/>
      <c r="F277" s="6"/>
      <c r="G277" s="7"/>
      <c r="H277" s="6"/>
      <c r="I277" s="6"/>
      <c r="J277" s="6"/>
      <c r="K277" s="9"/>
      <c r="L277" s="6"/>
      <c r="M277" s="6"/>
      <c r="N277" s="10"/>
      <c r="O277" s="6"/>
      <c r="P277" s="6"/>
      <c r="Q277" s="11" t="str">
        <f aca="false">IF(A277="","",TRIM(B277&amp;" "&amp;C277))</f>
        <v/>
      </c>
      <c r="R277" s="12" t="str">
        <f aca="false">IF(A277="","",SUMIFS(Sesiones!$F:$F,Sesiones!$C:$C,A277,Sesiones!$G:$G,"ARS")-SUMIFS(Pagos!$H:$H,Pagos!$D:$D,A277,Pagos!$I:$I,"ARS"))</f>
        <v/>
      </c>
      <c r="S277" s="13" t="str">
        <f aca="false">IF(A277="","",SUMIFS(Sesiones!$F:$F,Sesiones!$C:$C,A277,Sesiones!$G:$G,"USD")-SUMIFS(Pagos!$H:$H,Pagos!$D:$D,A277,Pagos!$I:$I,"USD"))</f>
        <v/>
      </c>
      <c r="T277" s="12" t="str">
        <f aca="false">IF(A277="","",SUMIFS(Pagos!$H:$H,Pagos!$D:$D,A277,Pagos!$I:$I,"ARS"))</f>
        <v/>
      </c>
      <c r="U277" s="13" t="str">
        <f aca="false">IF(A277="","",SUMIFS(Pagos!$H:$H,Pagos!$D:$D,A277,Pagos!$I:$I,"USD"))</f>
        <v/>
      </c>
    </row>
    <row r="278" customFormat="false" ht="15" hidden="false" customHeight="false" outlineLevel="0" collapsed="false">
      <c r="A278" s="6"/>
      <c r="B278" s="6"/>
      <c r="C278" s="6"/>
      <c r="D278" s="7"/>
      <c r="E278" s="7"/>
      <c r="F278" s="6"/>
      <c r="G278" s="7"/>
      <c r="H278" s="6"/>
      <c r="I278" s="6"/>
      <c r="J278" s="6"/>
      <c r="K278" s="9"/>
      <c r="L278" s="6"/>
      <c r="M278" s="6"/>
      <c r="N278" s="10"/>
      <c r="O278" s="6"/>
      <c r="P278" s="6"/>
      <c r="Q278" s="11" t="str">
        <f aca="false">IF(A278="","",TRIM(B278&amp;" "&amp;C278))</f>
        <v/>
      </c>
      <c r="R278" s="12" t="str">
        <f aca="false">IF(A278="","",SUMIFS(Sesiones!$F:$F,Sesiones!$C:$C,A278,Sesiones!$G:$G,"ARS")-SUMIFS(Pagos!$H:$H,Pagos!$D:$D,A278,Pagos!$I:$I,"ARS"))</f>
        <v/>
      </c>
      <c r="S278" s="13" t="str">
        <f aca="false">IF(A278="","",SUMIFS(Sesiones!$F:$F,Sesiones!$C:$C,A278,Sesiones!$G:$G,"USD")-SUMIFS(Pagos!$H:$H,Pagos!$D:$D,A278,Pagos!$I:$I,"USD"))</f>
        <v/>
      </c>
      <c r="T278" s="12" t="str">
        <f aca="false">IF(A278="","",SUMIFS(Pagos!$H:$H,Pagos!$D:$D,A278,Pagos!$I:$I,"ARS"))</f>
        <v/>
      </c>
      <c r="U278" s="13" t="str">
        <f aca="false">IF(A278="","",SUMIFS(Pagos!$H:$H,Pagos!$D:$D,A278,Pagos!$I:$I,"USD"))</f>
        <v/>
      </c>
    </row>
    <row r="279" customFormat="false" ht="15" hidden="false" customHeight="false" outlineLevel="0" collapsed="false">
      <c r="A279" s="6"/>
      <c r="B279" s="6"/>
      <c r="C279" s="6"/>
      <c r="D279" s="7"/>
      <c r="E279" s="7"/>
      <c r="F279" s="6"/>
      <c r="G279" s="7"/>
      <c r="H279" s="6"/>
      <c r="I279" s="6"/>
      <c r="J279" s="6"/>
      <c r="K279" s="9"/>
      <c r="L279" s="6"/>
      <c r="M279" s="6"/>
      <c r="N279" s="10"/>
      <c r="O279" s="6"/>
      <c r="P279" s="6"/>
      <c r="Q279" s="11" t="str">
        <f aca="false">IF(A279="","",TRIM(B279&amp;" "&amp;C279))</f>
        <v/>
      </c>
      <c r="R279" s="12" t="str">
        <f aca="false">IF(A279="","",SUMIFS(Sesiones!$F:$F,Sesiones!$C:$C,A279,Sesiones!$G:$G,"ARS")-SUMIFS(Pagos!$H:$H,Pagos!$D:$D,A279,Pagos!$I:$I,"ARS"))</f>
        <v/>
      </c>
      <c r="S279" s="13" t="str">
        <f aca="false">IF(A279="","",SUMIFS(Sesiones!$F:$F,Sesiones!$C:$C,A279,Sesiones!$G:$G,"USD")-SUMIFS(Pagos!$H:$H,Pagos!$D:$D,A279,Pagos!$I:$I,"USD"))</f>
        <v/>
      </c>
      <c r="T279" s="12" t="str">
        <f aca="false">IF(A279="","",SUMIFS(Pagos!$H:$H,Pagos!$D:$D,A279,Pagos!$I:$I,"ARS"))</f>
        <v/>
      </c>
      <c r="U279" s="13" t="str">
        <f aca="false">IF(A279="","",SUMIFS(Pagos!$H:$H,Pagos!$D:$D,A279,Pagos!$I:$I,"USD"))</f>
        <v/>
      </c>
    </row>
    <row r="280" customFormat="false" ht="15" hidden="false" customHeight="false" outlineLevel="0" collapsed="false">
      <c r="A280" s="6"/>
      <c r="B280" s="6"/>
      <c r="C280" s="6"/>
      <c r="D280" s="7"/>
      <c r="E280" s="7"/>
      <c r="F280" s="6"/>
      <c r="G280" s="7"/>
      <c r="H280" s="6"/>
      <c r="I280" s="6"/>
      <c r="J280" s="6"/>
      <c r="K280" s="9"/>
      <c r="L280" s="6"/>
      <c r="M280" s="6"/>
      <c r="N280" s="10"/>
      <c r="O280" s="6"/>
      <c r="P280" s="6"/>
      <c r="Q280" s="11" t="str">
        <f aca="false">IF(A280="","",TRIM(B280&amp;" "&amp;C280))</f>
        <v/>
      </c>
      <c r="R280" s="12" t="str">
        <f aca="false">IF(A280="","",SUMIFS(Sesiones!$F:$F,Sesiones!$C:$C,A280,Sesiones!$G:$G,"ARS")-SUMIFS(Pagos!$H:$H,Pagos!$D:$D,A280,Pagos!$I:$I,"ARS"))</f>
        <v/>
      </c>
      <c r="S280" s="13" t="str">
        <f aca="false">IF(A280="","",SUMIFS(Sesiones!$F:$F,Sesiones!$C:$C,A280,Sesiones!$G:$G,"USD")-SUMIFS(Pagos!$H:$H,Pagos!$D:$D,A280,Pagos!$I:$I,"USD"))</f>
        <v/>
      </c>
      <c r="T280" s="12" t="str">
        <f aca="false">IF(A280="","",SUMIFS(Pagos!$H:$H,Pagos!$D:$D,A280,Pagos!$I:$I,"ARS"))</f>
        <v/>
      </c>
      <c r="U280" s="13" t="str">
        <f aca="false">IF(A280="","",SUMIFS(Pagos!$H:$H,Pagos!$D:$D,A280,Pagos!$I:$I,"USD"))</f>
        <v/>
      </c>
    </row>
    <row r="281" customFormat="false" ht="15" hidden="false" customHeight="false" outlineLevel="0" collapsed="false">
      <c r="A281" s="6"/>
      <c r="B281" s="6"/>
      <c r="C281" s="6"/>
      <c r="D281" s="7"/>
      <c r="E281" s="7"/>
      <c r="F281" s="6"/>
      <c r="G281" s="7"/>
      <c r="H281" s="6"/>
      <c r="I281" s="6"/>
      <c r="J281" s="6"/>
      <c r="K281" s="9"/>
      <c r="L281" s="6"/>
      <c r="M281" s="6"/>
      <c r="N281" s="10"/>
      <c r="O281" s="6"/>
      <c r="P281" s="6"/>
      <c r="Q281" s="11" t="str">
        <f aca="false">IF(A281="","",TRIM(B281&amp;" "&amp;C281))</f>
        <v/>
      </c>
      <c r="R281" s="12" t="str">
        <f aca="false">IF(A281="","",SUMIFS(Sesiones!$F:$F,Sesiones!$C:$C,A281,Sesiones!$G:$G,"ARS")-SUMIFS(Pagos!$H:$H,Pagos!$D:$D,A281,Pagos!$I:$I,"ARS"))</f>
        <v/>
      </c>
      <c r="S281" s="13" t="str">
        <f aca="false">IF(A281="","",SUMIFS(Sesiones!$F:$F,Sesiones!$C:$C,A281,Sesiones!$G:$G,"USD")-SUMIFS(Pagos!$H:$H,Pagos!$D:$D,A281,Pagos!$I:$I,"USD"))</f>
        <v/>
      </c>
      <c r="T281" s="12" t="str">
        <f aca="false">IF(A281="","",SUMIFS(Pagos!$H:$H,Pagos!$D:$D,A281,Pagos!$I:$I,"ARS"))</f>
        <v/>
      </c>
      <c r="U281" s="13" t="str">
        <f aca="false">IF(A281="","",SUMIFS(Pagos!$H:$H,Pagos!$D:$D,A281,Pagos!$I:$I,"USD"))</f>
        <v/>
      </c>
    </row>
    <row r="282" customFormat="false" ht="15" hidden="false" customHeight="false" outlineLevel="0" collapsed="false">
      <c r="A282" s="6"/>
      <c r="B282" s="6"/>
      <c r="C282" s="6"/>
      <c r="D282" s="7"/>
      <c r="E282" s="7"/>
      <c r="F282" s="6"/>
      <c r="G282" s="7"/>
      <c r="H282" s="6"/>
      <c r="I282" s="6"/>
      <c r="J282" s="6"/>
      <c r="K282" s="9"/>
      <c r="L282" s="6"/>
      <c r="M282" s="6"/>
      <c r="N282" s="10"/>
      <c r="O282" s="6"/>
      <c r="P282" s="6"/>
      <c r="Q282" s="11" t="str">
        <f aca="false">IF(A282="","",TRIM(B282&amp;" "&amp;C282))</f>
        <v/>
      </c>
      <c r="R282" s="12" t="str">
        <f aca="false">IF(A282="","",SUMIFS(Sesiones!$F:$F,Sesiones!$C:$C,A282,Sesiones!$G:$G,"ARS")-SUMIFS(Pagos!$H:$H,Pagos!$D:$D,A282,Pagos!$I:$I,"ARS"))</f>
        <v/>
      </c>
      <c r="S282" s="13" t="str">
        <f aca="false">IF(A282="","",SUMIFS(Sesiones!$F:$F,Sesiones!$C:$C,A282,Sesiones!$G:$G,"USD")-SUMIFS(Pagos!$H:$H,Pagos!$D:$D,A282,Pagos!$I:$I,"USD"))</f>
        <v/>
      </c>
      <c r="T282" s="12" t="str">
        <f aca="false">IF(A282="","",SUMIFS(Pagos!$H:$H,Pagos!$D:$D,A282,Pagos!$I:$I,"ARS"))</f>
        <v/>
      </c>
      <c r="U282" s="13" t="str">
        <f aca="false">IF(A282="","",SUMIFS(Pagos!$H:$H,Pagos!$D:$D,A282,Pagos!$I:$I,"USD"))</f>
        <v/>
      </c>
    </row>
    <row r="283" customFormat="false" ht="15" hidden="false" customHeight="false" outlineLevel="0" collapsed="false">
      <c r="A283" s="6"/>
      <c r="B283" s="6"/>
      <c r="C283" s="6"/>
      <c r="D283" s="7"/>
      <c r="E283" s="7"/>
      <c r="F283" s="6"/>
      <c r="G283" s="7"/>
      <c r="H283" s="6"/>
      <c r="I283" s="6"/>
      <c r="J283" s="6"/>
      <c r="K283" s="9"/>
      <c r="L283" s="6"/>
      <c r="M283" s="6"/>
      <c r="N283" s="10"/>
      <c r="O283" s="6"/>
      <c r="P283" s="6"/>
      <c r="Q283" s="11" t="str">
        <f aca="false">IF(A283="","",TRIM(B283&amp;" "&amp;C283))</f>
        <v/>
      </c>
      <c r="R283" s="12" t="str">
        <f aca="false">IF(A283="","",SUMIFS(Sesiones!$F:$F,Sesiones!$C:$C,A283,Sesiones!$G:$G,"ARS")-SUMIFS(Pagos!$H:$H,Pagos!$D:$D,A283,Pagos!$I:$I,"ARS"))</f>
        <v/>
      </c>
      <c r="S283" s="13" t="str">
        <f aca="false">IF(A283="","",SUMIFS(Sesiones!$F:$F,Sesiones!$C:$C,A283,Sesiones!$G:$G,"USD")-SUMIFS(Pagos!$H:$H,Pagos!$D:$D,A283,Pagos!$I:$I,"USD"))</f>
        <v/>
      </c>
      <c r="T283" s="12" t="str">
        <f aca="false">IF(A283="","",SUMIFS(Pagos!$H:$H,Pagos!$D:$D,A283,Pagos!$I:$I,"ARS"))</f>
        <v/>
      </c>
      <c r="U283" s="13" t="str">
        <f aca="false">IF(A283="","",SUMIFS(Pagos!$H:$H,Pagos!$D:$D,A283,Pagos!$I:$I,"USD"))</f>
        <v/>
      </c>
    </row>
    <row r="284" customFormat="false" ht="15" hidden="false" customHeight="false" outlineLevel="0" collapsed="false">
      <c r="A284" s="6"/>
      <c r="B284" s="6"/>
      <c r="C284" s="6"/>
      <c r="D284" s="7"/>
      <c r="E284" s="7"/>
      <c r="F284" s="6"/>
      <c r="G284" s="7"/>
      <c r="H284" s="6"/>
      <c r="I284" s="6"/>
      <c r="J284" s="6"/>
      <c r="K284" s="9"/>
      <c r="L284" s="6"/>
      <c r="M284" s="6"/>
      <c r="N284" s="10"/>
      <c r="O284" s="6"/>
      <c r="P284" s="6"/>
      <c r="Q284" s="11" t="str">
        <f aca="false">IF(A284="","",TRIM(B284&amp;" "&amp;C284))</f>
        <v/>
      </c>
      <c r="R284" s="12" t="str">
        <f aca="false">IF(A284="","",SUMIFS(Sesiones!$F:$F,Sesiones!$C:$C,A284,Sesiones!$G:$G,"ARS")-SUMIFS(Pagos!$H:$H,Pagos!$D:$D,A284,Pagos!$I:$I,"ARS"))</f>
        <v/>
      </c>
      <c r="S284" s="13" t="str">
        <f aca="false">IF(A284="","",SUMIFS(Sesiones!$F:$F,Sesiones!$C:$C,A284,Sesiones!$G:$G,"USD")-SUMIFS(Pagos!$H:$H,Pagos!$D:$D,A284,Pagos!$I:$I,"USD"))</f>
        <v/>
      </c>
      <c r="T284" s="12" t="str">
        <f aca="false">IF(A284="","",SUMIFS(Pagos!$H:$H,Pagos!$D:$D,A284,Pagos!$I:$I,"ARS"))</f>
        <v/>
      </c>
      <c r="U284" s="13" t="str">
        <f aca="false">IF(A284="","",SUMIFS(Pagos!$H:$H,Pagos!$D:$D,A284,Pagos!$I:$I,"USD"))</f>
        <v/>
      </c>
    </row>
    <row r="285" customFormat="false" ht="15" hidden="false" customHeight="false" outlineLevel="0" collapsed="false">
      <c r="A285" s="6"/>
      <c r="B285" s="6"/>
      <c r="C285" s="6"/>
      <c r="D285" s="7"/>
      <c r="E285" s="7"/>
      <c r="F285" s="6"/>
      <c r="G285" s="7"/>
      <c r="H285" s="6"/>
      <c r="I285" s="6"/>
      <c r="J285" s="6"/>
      <c r="K285" s="9"/>
      <c r="L285" s="6"/>
      <c r="M285" s="6"/>
      <c r="N285" s="10"/>
      <c r="O285" s="6"/>
      <c r="P285" s="6"/>
      <c r="Q285" s="11" t="str">
        <f aca="false">IF(A285="","",TRIM(B285&amp;" "&amp;C285))</f>
        <v/>
      </c>
      <c r="R285" s="12" t="str">
        <f aca="false">IF(A285="","",SUMIFS(Sesiones!$F:$F,Sesiones!$C:$C,A285,Sesiones!$G:$G,"ARS")-SUMIFS(Pagos!$H:$H,Pagos!$D:$D,A285,Pagos!$I:$I,"ARS"))</f>
        <v/>
      </c>
      <c r="S285" s="13" t="str">
        <f aca="false">IF(A285="","",SUMIFS(Sesiones!$F:$F,Sesiones!$C:$C,A285,Sesiones!$G:$G,"USD")-SUMIFS(Pagos!$H:$H,Pagos!$D:$D,A285,Pagos!$I:$I,"USD"))</f>
        <v/>
      </c>
      <c r="T285" s="12" t="str">
        <f aca="false">IF(A285="","",SUMIFS(Pagos!$H:$H,Pagos!$D:$D,A285,Pagos!$I:$I,"ARS"))</f>
        <v/>
      </c>
      <c r="U285" s="13" t="str">
        <f aca="false">IF(A285="","",SUMIFS(Pagos!$H:$H,Pagos!$D:$D,A285,Pagos!$I:$I,"USD"))</f>
        <v/>
      </c>
    </row>
    <row r="286" customFormat="false" ht="15" hidden="false" customHeight="false" outlineLevel="0" collapsed="false">
      <c r="A286" s="6"/>
      <c r="B286" s="6"/>
      <c r="C286" s="6"/>
      <c r="D286" s="7"/>
      <c r="E286" s="7"/>
      <c r="F286" s="6"/>
      <c r="G286" s="7"/>
      <c r="H286" s="6"/>
      <c r="I286" s="6"/>
      <c r="J286" s="6"/>
      <c r="K286" s="9"/>
      <c r="L286" s="6"/>
      <c r="M286" s="6"/>
      <c r="N286" s="10"/>
      <c r="O286" s="6"/>
      <c r="P286" s="6"/>
      <c r="Q286" s="11" t="str">
        <f aca="false">IF(A286="","",TRIM(B286&amp;" "&amp;C286))</f>
        <v/>
      </c>
      <c r="R286" s="12" t="str">
        <f aca="false">IF(A286="","",SUMIFS(Sesiones!$F:$F,Sesiones!$C:$C,A286,Sesiones!$G:$G,"ARS")-SUMIFS(Pagos!$H:$H,Pagos!$D:$D,A286,Pagos!$I:$I,"ARS"))</f>
        <v/>
      </c>
      <c r="S286" s="13" t="str">
        <f aca="false">IF(A286="","",SUMIFS(Sesiones!$F:$F,Sesiones!$C:$C,A286,Sesiones!$G:$G,"USD")-SUMIFS(Pagos!$H:$H,Pagos!$D:$D,A286,Pagos!$I:$I,"USD"))</f>
        <v/>
      </c>
      <c r="T286" s="12" t="str">
        <f aca="false">IF(A286="","",SUMIFS(Pagos!$H:$H,Pagos!$D:$D,A286,Pagos!$I:$I,"ARS"))</f>
        <v/>
      </c>
      <c r="U286" s="13" t="str">
        <f aca="false">IF(A286="","",SUMIFS(Pagos!$H:$H,Pagos!$D:$D,A286,Pagos!$I:$I,"USD"))</f>
        <v/>
      </c>
    </row>
    <row r="287" customFormat="false" ht="15" hidden="false" customHeight="false" outlineLevel="0" collapsed="false">
      <c r="A287" s="6"/>
      <c r="B287" s="6"/>
      <c r="C287" s="6"/>
      <c r="D287" s="7"/>
      <c r="E287" s="7"/>
      <c r="F287" s="6"/>
      <c r="G287" s="7"/>
      <c r="H287" s="6"/>
      <c r="I287" s="6"/>
      <c r="J287" s="6"/>
      <c r="K287" s="9"/>
      <c r="L287" s="6"/>
      <c r="M287" s="6"/>
      <c r="N287" s="10"/>
      <c r="O287" s="6"/>
      <c r="P287" s="6"/>
      <c r="Q287" s="11" t="str">
        <f aca="false">IF(A287="","",TRIM(B287&amp;" "&amp;C287))</f>
        <v/>
      </c>
      <c r="R287" s="12" t="str">
        <f aca="false">IF(A287="","",SUMIFS(Sesiones!$F:$F,Sesiones!$C:$C,A287,Sesiones!$G:$G,"ARS")-SUMIFS(Pagos!$H:$H,Pagos!$D:$D,A287,Pagos!$I:$I,"ARS"))</f>
        <v/>
      </c>
      <c r="S287" s="13" t="str">
        <f aca="false">IF(A287="","",SUMIFS(Sesiones!$F:$F,Sesiones!$C:$C,A287,Sesiones!$G:$G,"USD")-SUMIFS(Pagos!$H:$H,Pagos!$D:$D,A287,Pagos!$I:$I,"USD"))</f>
        <v/>
      </c>
      <c r="T287" s="12" t="str">
        <f aca="false">IF(A287="","",SUMIFS(Pagos!$H:$H,Pagos!$D:$D,A287,Pagos!$I:$I,"ARS"))</f>
        <v/>
      </c>
      <c r="U287" s="13" t="str">
        <f aca="false">IF(A287="","",SUMIFS(Pagos!$H:$H,Pagos!$D:$D,A287,Pagos!$I:$I,"USD"))</f>
        <v/>
      </c>
    </row>
    <row r="288" customFormat="false" ht="15" hidden="false" customHeight="false" outlineLevel="0" collapsed="false">
      <c r="A288" s="6"/>
      <c r="B288" s="6"/>
      <c r="C288" s="6"/>
      <c r="D288" s="7"/>
      <c r="E288" s="7"/>
      <c r="F288" s="6"/>
      <c r="G288" s="7"/>
      <c r="H288" s="6"/>
      <c r="I288" s="6"/>
      <c r="J288" s="6"/>
      <c r="K288" s="9"/>
      <c r="L288" s="6"/>
      <c r="M288" s="6"/>
      <c r="N288" s="10"/>
      <c r="O288" s="6"/>
      <c r="P288" s="6"/>
      <c r="Q288" s="11" t="str">
        <f aca="false">IF(A288="","",TRIM(B288&amp;" "&amp;C288))</f>
        <v/>
      </c>
      <c r="R288" s="12" t="str">
        <f aca="false">IF(A288="","",SUMIFS(Sesiones!$F:$F,Sesiones!$C:$C,A288,Sesiones!$G:$G,"ARS")-SUMIFS(Pagos!$H:$H,Pagos!$D:$D,A288,Pagos!$I:$I,"ARS"))</f>
        <v/>
      </c>
      <c r="S288" s="13" t="str">
        <f aca="false">IF(A288="","",SUMIFS(Sesiones!$F:$F,Sesiones!$C:$C,A288,Sesiones!$G:$G,"USD")-SUMIFS(Pagos!$H:$H,Pagos!$D:$D,A288,Pagos!$I:$I,"USD"))</f>
        <v/>
      </c>
      <c r="T288" s="12" t="str">
        <f aca="false">IF(A288="","",SUMIFS(Pagos!$H:$H,Pagos!$D:$D,A288,Pagos!$I:$I,"ARS"))</f>
        <v/>
      </c>
      <c r="U288" s="13" t="str">
        <f aca="false">IF(A288="","",SUMIFS(Pagos!$H:$H,Pagos!$D:$D,A288,Pagos!$I:$I,"USD"))</f>
        <v/>
      </c>
    </row>
    <row r="289" customFormat="false" ht="15" hidden="false" customHeight="false" outlineLevel="0" collapsed="false">
      <c r="A289" s="6"/>
      <c r="B289" s="6"/>
      <c r="C289" s="6"/>
      <c r="D289" s="7"/>
      <c r="E289" s="7"/>
      <c r="F289" s="6"/>
      <c r="G289" s="7"/>
      <c r="H289" s="6"/>
      <c r="I289" s="6"/>
      <c r="J289" s="6"/>
      <c r="K289" s="9"/>
      <c r="L289" s="6"/>
      <c r="M289" s="6"/>
      <c r="N289" s="10"/>
      <c r="O289" s="6"/>
      <c r="P289" s="6"/>
      <c r="Q289" s="11" t="str">
        <f aca="false">IF(A289="","",TRIM(B289&amp;" "&amp;C289))</f>
        <v/>
      </c>
      <c r="R289" s="12" t="str">
        <f aca="false">IF(A289="","",SUMIFS(Sesiones!$F:$F,Sesiones!$C:$C,A289,Sesiones!$G:$G,"ARS")-SUMIFS(Pagos!$H:$H,Pagos!$D:$D,A289,Pagos!$I:$I,"ARS"))</f>
        <v/>
      </c>
      <c r="S289" s="13" t="str">
        <f aca="false">IF(A289="","",SUMIFS(Sesiones!$F:$F,Sesiones!$C:$C,A289,Sesiones!$G:$G,"USD")-SUMIFS(Pagos!$H:$H,Pagos!$D:$D,A289,Pagos!$I:$I,"USD"))</f>
        <v/>
      </c>
      <c r="T289" s="12" t="str">
        <f aca="false">IF(A289="","",SUMIFS(Pagos!$H:$H,Pagos!$D:$D,A289,Pagos!$I:$I,"ARS"))</f>
        <v/>
      </c>
      <c r="U289" s="13" t="str">
        <f aca="false">IF(A289="","",SUMIFS(Pagos!$H:$H,Pagos!$D:$D,A289,Pagos!$I:$I,"USD"))</f>
        <v/>
      </c>
    </row>
    <row r="290" customFormat="false" ht="15" hidden="false" customHeight="false" outlineLevel="0" collapsed="false">
      <c r="A290" s="6"/>
      <c r="B290" s="6"/>
      <c r="C290" s="6"/>
      <c r="D290" s="7"/>
      <c r="E290" s="7"/>
      <c r="F290" s="6"/>
      <c r="G290" s="7"/>
      <c r="H290" s="6"/>
      <c r="I290" s="6"/>
      <c r="J290" s="6"/>
      <c r="K290" s="9"/>
      <c r="L290" s="6"/>
      <c r="M290" s="6"/>
      <c r="N290" s="10"/>
      <c r="O290" s="6"/>
      <c r="P290" s="6"/>
      <c r="Q290" s="11" t="str">
        <f aca="false">IF(A290="","",TRIM(B290&amp;" "&amp;C290))</f>
        <v/>
      </c>
      <c r="R290" s="12" t="str">
        <f aca="false">IF(A290="","",SUMIFS(Sesiones!$F:$F,Sesiones!$C:$C,A290,Sesiones!$G:$G,"ARS")-SUMIFS(Pagos!$H:$H,Pagos!$D:$D,A290,Pagos!$I:$I,"ARS"))</f>
        <v/>
      </c>
      <c r="S290" s="13" t="str">
        <f aca="false">IF(A290="","",SUMIFS(Sesiones!$F:$F,Sesiones!$C:$C,A290,Sesiones!$G:$G,"USD")-SUMIFS(Pagos!$H:$H,Pagos!$D:$D,A290,Pagos!$I:$I,"USD"))</f>
        <v/>
      </c>
      <c r="T290" s="12" t="str">
        <f aca="false">IF(A290="","",SUMIFS(Pagos!$H:$H,Pagos!$D:$D,A290,Pagos!$I:$I,"ARS"))</f>
        <v/>
      </c>
      <c r="U290" s="13" t="str">
        <f aca="false">IF(A290="","",SUMIFS(Pagos!$H:$H,Pagos!$D:$D,A290,Pagos!$I:$I,"USD"))</f>
        <v/>
      </c>
    </row>
    <row r="291" customFormat="false" ht="15" hidden="false" customHeight="false" outlineLevel="0" collapsed="false">
      <c r="A291" s="6"/>
      <c r="B291" s="6"/>
      <c r="C291" s="6"/>
      <c r="D291" s="7"/>
      <c r="E291" s="7"/>
      <c r="F291" s="6"/>
      <c r="G291" s="7"/>
      <c r="H291" s="6"/>
      <c r="I291" s="6"/>
      <c r="J291" s="6"/>
      <c r="K291" s="9"/>
      <c r="L291" s="6"/>
      <c r="M291" s="6"/>
      <c r="N291" s="10"/>
      <c r="O291" s="6"/>
      <c r="P291" s="6"/>
      <c r="Q291" s="11" t="str">
        <f aca="false">IF(A291="","",TRIM(B291&amp;" "&amp;C291))</f>
        <v/>
      </c>
      <c r="R291" s="12" t="str">
        <f aca="false">IF(A291="","",SUMIFS(Sesiones!$F:$F,Sesiones!$C:$C,A291,Sesiones!$G:$G,"ARS")-SUMIFS(Pagos!$H:$H,Pagos!$D:$D,A291,Pagos!$I:$I,"ARS"))</f>
        <v/>
      </c>
      <c r="S291" s="13" t="str">
        <f aca="false">IF(A291="","",SUMIFS(Sesiones!$F:$F,Sesiones!$C:$C,A291,Sesiones!$G:$G,"USD")-SUMIFS(Pagos!$H:$H,Pagos!$D:$D,A291,Pagos!$I:$I,"USD"))</f>
        <v/>
      </c>
      <c r="T291" s="12" t="str">
        <f aca="false">IF(A291="","",SUMIFS(Pagos!$H:$H,Pagos!$D:$D,A291,Pagos!$I:$I,"ARS"))</f>
        <v/>
      </c>
      <c r="U291" s="13" t="str">
        <f aca="false">IF(A291="","",SUMIFS(Pagos!$H:$H,Pagos!$D:$D,A291,Pagos!$I:$I,"USD"))</f>
        <v/>
      </c>
    </row>
    <row r="292" customFormat="false" ht="15" hidden="false" customHeight="false" outlineLevel="0" collapsed="false">
      <c r="A292" s="6"/>
      <c r="B292" s="6"/>
      <c r="C292" s="6"/>
      <c r="D292" s="7"/>
      <c r="E292" s="7"/>
      <c r="F292" s="6"/>
      <c r="G292" s="7"/>
      <c r="H292" s="6"/>
      <c r="I292" s="6"/>
      <c r="J292" s="6"/>
      <c r="K292" s="9"/>
      <c r="L292" s="6"/>
      <c r="M292" s="6"/>
      <c r="N292" s="10"/>
      <c r="O292" s="6"/>
      <c r="P292" s="6"/>
      <c r="Q292" s="11" t="str">
        <f aca="false">IF(A292="","",TRIM(B292&amp;" "&amp;C292))</f>
        <v/>
      </c>
      <c r="R292" s="12" t="str">
        <f aca="false">IF(A292="","",SUMIFS(Sesiones!$F:$F,Sesiones!$C:$C,A292,Sesiones!$G:$G,"ARS")-SUMIFS(Pagos!$H:$H,Pagos!$D:$D,A292,Pagos!$I:$I,"ARS"))</f>
        <v/>
      </c>
      <c r="S292" s="13" t="str">
        <f aca="false">IF(A292="","",SUMIFS(Sesiones!$F:$F,Sesiones!$C:$C,A292,Sesiones!$G:$G,"USD")-SUMIFS(Pagos!$H:$H,Pagos!$D:$D,A292,Pagos!$I:$I,"USD"))</f>
        <v/>
      </c>
      <c r="T292" s="12" t="str">
        <f aca="false">IF(A292="","",SUMIFS(Pagos!$H:$H,Pagos!$D:$D,A292,Pagos!$I:$I,"ARS"))</f>
        <v/>
      </c>
      <c r="U292" s="13" t="str">
        <f aca="false">IF(A292="","",SUMIFS(Pagos!$H:$H,Pagos!$D:$D,A292,Pagos!$I:$I,"USD"))</f>
        <v/>
      </c>
    </row>
    <row r="293" customFormat="false" ht="15" hidden="false" customHeight="false" outlineLevel="0" collapsed="false">
      <c r="A293" s="6"/>
      <c r="B293" s="6"/>
      <c r="C293" s="6"/>
      <c r="D293" s="7"/>
      <c r="E293" s="7"/>
      <c r="F293" s="6"/>
      <c r="G293" s="7"/>
      <c r="H293" s="6"/>
      <c r="I293" s="6"/>
      <c r="J293" s="6"/>
      <c r="K293" s="9"/>
      <c r="L293" s="6"/>
      <c r="M293" s="6"/>
      <c r="N293" s="10"/>
      <c r="O293" s="6"/>
      <c r="P293" s="6"/>
      <c r="Q293" s="11" t="str">
        <f aca="false">IF(A293="","",TRIM(B293&amp;" "&amp;C293))</f>
        <v/>
      </c>
      <c r="R293" s="12" t="str">
        <f aca="false">IF(A293="","",SUMIFS(Sesiones!$F:$F,Sesiones!$C:$C,A293,Sesiones!$G:$G,"ARS")-SUMIFS(Pagos!$H:$H,Pagos!$D:$D,A293,Pagos!$I:$I,"ARS"))</f>
        <v/>
      </c>
      <c r="S293" s="13" t="str">
        <f aca="false">IF(A293="","",SUMIFS(Sesiones!$F:$F,Sesiones!$C:$C,A293,Sesiones!$G:$G,"USD")-SUMIFS(Pagos!$H:$H,Pagos!$D:$D,A293,Pagos!$I:$I,"USD"))</f>
        <v/>
      </c>
      <c r="T293" s="12" t="str">
        <f aca="false">IF(A293="","",SUMIFS(Pagos!$H:$H,Pagos!$D:$D,A293,Pagos!$I:$I,"ARS"))</f>
        <v/>
      </c>
      <c r="U293" s="13" t="str">
        <f aca="false">IF(A293="","",SUMIFS(Pagos!$H:$H,Pagos!$D:$D,A293,Pagos!$I:$I,"USD"))</f>
        <v/>
      </c>
    </row>
    <row r="294" customFormat="false" ht="15" hidden="false" customHeight="false" outlineLevel="0" collapsed="false">
      <c r="A294" s="6"/>
      <c r="B294" s="6"/>
      <c r="C294" s="6"/>
      <c r="D294" s="7"/>
      <c r="E294" s="7"/>
      <c r="F294" s="6"/>
      <c r="G294" s="7"/>
      <c r="H294" s="6"/>
      <c r="I294" s="6"/>
      <c r="J294" s="6"/>
      <c r="K294" s="9"/>
      <c r="L294" s="6"/>
      <c r="M294" s="6"/>
      <c r="N294" s="10"/>
      <c r="O294" s="6"/>
      <c r="P294" s="6"/>
      <c r="Q294" s="11" t="str">
        <f aca="false">IF(A294="","",TRIM(B294&amp;" "&amp;C294))</f>
        <v/>
      </c>
      <c r="R294" s="12" t="str">
        <f aca="false">IF(A294="","",SUMIFS(Sesiones!$F:$F,Sesiones!$C:$C,A294,Sesiones!$G:$G,"ARS")-SUMIFS(Pagos!$H:$H,Pagos!$D:$D,A294,Pagos!$I:$I,"ARS"))</f>
        <v/>
      </c>
      <c r="S294" s="13" t="str">
        <f aca="false">IF(A294="","",SUMIFS(Sesiones!$F:$F,Sesiones!$C:$C,A294,Sesiones!$G:$G,"USD")-SUMIFS(Pagos!$H:$H,Pagos!$D:$D,A294,Pagos!$I:$I,"USD"))</f>
        <v/>
      </c>
      <c r="T294" s="12" t="str">
        <f aca="false">IF(A294="","",SUMIFS(Pagos!$H:$H,Pagos!$D:$D,A294,Pagos!$I:$I,"ARS"))</f>
        <v/>
      </c>
      <c r="U294" s="13" t="str">
        <f aca="false">IF(A294="","",SUMIFS(Pagos!$H:$H,Pagos!$D:$D,A294,Pagos!$I:$I,"USD"))</f>
        <v/>
      </c>
    </row>
    <row r="295" customFormat="false" ht="15" hidden="false" customHeight="false" outlineLevel="0" collapsed="false">
      <c r="A295" s="6"/>
      <c r="B295" s="6"/>
      <c r="C295" s="6"/>
      <c r="D295" s="7"/>
      <c r="E295" s="7"/>
      <c r="F295" s="6"/>
      <c r="G295" s="7"/>
      <c r="H295" s="6"/>
      <c r="I295" s="6"/>
      <c r="J295" s="6"/>
      <c r="K295" s="9"/>
      <c r="L295" s="6"/>
      <c r="M295" s="6"/>
      <c r="N295" s="10"/>
      <c r="O295" s="6"/>
      <c r="P295" s="6"/>
      <c r="Q295" s="11" t="str">
        <f aca="false">IF(A295="","",TRIM(B295&amp;" "&amp;C295))</f>
        <v/>
      </c>
      <c r="R295" s="12" t="str">
        <f aca="false">IF(A295="","",SUMIFS(Sesiones!$F:$F,Sesiones!$C:$C,A295,Sesiones!$G:$G,"ARS")-SUMIFS(Pagos!$H:$H,Pagos!$D:$D,A295,Pagos!$I:$I,"ARS"))</f>
        <v/>
      </c>
      <c r="S295" s="13" t="str">
        <f aca="false">IF(A295="","",SUMIFS(Sesiones!$F:$F,Sesiones!$C:$C,A295,Sesiones!$G:$G,"USD")-SUMIFS(Pagos!$H:$H,Pagos!$D:$D,A295,Pagos!$I:$I,"USD"))</f>
        <v/>
      </c>
      <c r="T295" s="12" t="str">
        <f aca="false">IF(A295="","",SUMIFS(Pagos!$H:$H,Pagos!$D:$D,A295,Pagos!$I:$I,"ARS"))</f>
        <v/>
      </c>
      <c r="U295" s="13" t="str">
        <f aca="false">IF(A295="","",SUMIFS(Pagos!$H:$H,Pagos!$D:$D,A295,Pagos!$I:$I,"USD"))</f>
        <v/>
      </c>
    </row>
    <row r="296" customFormat="false" ht="15" hidden="false" customHeight="false" outlineLevel="0" collapsed="false">
      <c r="A296" s="6"/>
      <c r="B296" s="6"/>
      <c r="C296" s="6"/>
      <c r="D296" s="7"/>
      <c r="E296" s="7"/>
      <c r="F296" s="6"/>
      <c r="G296" s="7"/>
      <c r="H296" s="6"/>
      <c r="I296" s="6"/>
      <c r="J296" s="6"/>
      <c r="K296" s="9"/>
      <c r="L296" s="6"/>
      <c r="M296" s="6"/>
      <c r="N296" s="10"/>
      <c r="O296" s="6"/>
      <c r="P296" s="6"/>
      <c r="Q296" s="11" t="str">
        <f aca="false">IF(A296="","",TRIM(B296&amp;" "&amp;C296))</f>
        <v/>
      </c>
      <c r="R296" s="12" t="str">
        <f aca="false">IF(A296="","",SUMIFS(Sesiones!$F:$F,Sesiones!$C:$C,A296,Sesiones!$G:$G,"ARS")-SUMIFS(Pagos!$H:$H,Pagos!$D:$D,A296,Pagos!$I:$I,"ARS"))</f>
        <v/>
      </c>
      <c r="S296" s="13" t="str">
        <f aca="false">IF(A296="","",SUMIFS(Sesiones!$F:$F,Sesiones!$C:$C,A296,Sesiones!$G:$G,"USD")-SUMIFS(Pagos!$H:$H,Pagos!$D:$D,A296,Pagos!$I:$I,"USD"))</f>
        <v/>
      </c>
      <c r="T296" s="12" t="str">
        <f aca="false">IF(A296="","",SUMIFS(Pagos!$H:$H,Pagos!$D:$D,A296,Pagos!$I:$I,"ARS"))</f>
        <v/>
      </c>
      <c r="U296" s="13" t="str">
        <f aca="false">IF(A296="","",SUMIFS(Pagos!$H:$H,Pagos!$D:$D,A296,Pagos!$I:$I,"USD"))</f>
        <v/>
      </c>
    </row>
    <row r="297" customFormat="false" ht="15" hidden="false" customHeight="false" outlineLevel="0" collapsed="false">
      <c r="A297" s="6"/>
      <c r="B297" s="6"/>
      <c r="C297" s="6"/>
      <c r="D297" s="7"/>
      <c r="E297" s="7"/>
      <c r="F297" s="6"/>
      <c r="G297" s="7"/>
      <c r="H297" s="6"/>
      <c r="I297" s="6"/>
      <c r="J297" s="6"/>
      <c r="K297" s="9"/>
      <c r="L297" s="6"/>
      <c r="M297" s="6"/>
      <c r="N297" s="10"/>
      <c r="O297" s="6"/>
      <c r="P297" s="6"/>
      <c r="Q297" s="11" t="str">
        <f aca="false">IF(A297="","",TRIM(B297&amp;" "&amp;C297))</f>
        <v/>
      </c>
      <c r="R297" s="12" t="str">
        <f aca="false">IF(A297="","",SUMIFS(Sesiones!$F:$F,Sesiones!$C:$C,A297,Sesiones!$G:$G,"ARS")-SUMIFS(Pagos!$H:$H,Pagos!$D:$D,A297,Pagos!$I:$I,"ARS"))</f>
        <v/>
      </c>
      <c r="S297" s="13" t="str">
        <f aca="false">IF(A297="","",SUMIFS(Sesiones!$F:$F,Sesiones!$C:$C,A297,Sesiones!$G:$G,"USD")-SUMIFS(Pagos!$H:$H,Pagos!$D:$D,A297,Pagos!$I:$I,"USD"))</f>
        <v/>
      </c>
      <c r="T297" s="12" t="str">
        <f aca="false">IF(A297="","",SUMIFS(Pagos!$H:$H,Pagos!$D:$D,A297,Pagos!$I:$I,"ARS"))</f>
        <v/>
      </c>
      <c r="U297" s="13" t="str">
        <f aca="false">IF(A297="","",SUMIFS(Pagos!$H:$H,Pagos!$D:$D,A297,Pagos!$I:$I,"USD"))</f>
        <v/>
      </c>
    </row>
    <row r="298" customFormat="false" ht="15" hidden="false" customHeight="false" outlineLevel="0" collapsed="false">
      <c r="A298" s="6"/>
      <c r="B298" s="6"/>
      <c r="C298" s="6"/>
      <c r="D298" s="7"/>
      <c r="E298" s="7"/>
      <c r="F298" s="6"/>
      <c r="G298" s="7"/>
      <c r="H298" s="6"/>
      <c r="I298" s="6"/>
      <c r="J298" s="6"/>
      <c r="K298" s="9"/>
      <c r="L298" s="6"/>
      <c r="M298" s="6"/>
      <c r="N298" s="10"/>
      <c r="O298" s="6"/>
      <c r="P298" s="6"/>
      <c r="Q298" s="11" t="str">
        <f aca="false">IF(A298="","",TRIM(B298&amp;" "&amp;C298))</f>
        <v/>
      </c>
      <c r="R298" s="12" t="str">
        <f aca="false">IF(A298="","",SUMIFS(Sesiones!$F:$F,Sesiones!$C:$C,A298,Sesiones!$G:$G,"ARS")-SUMIFS(Pagos!$H:$H,Pagos!$D:$D,A298,Pagos!$I:$I,"ARS"))</f>
        <v/>
      </c>
      <c r="S298" s="13" t="str">
        <f aca="false">IF(A298="","",SUMIFS(Sesiones!$F:$F,Sesiones!$C:$C,A298,Sesiones!$G:$G,"USD")-SUMIFS(Pagos!$H:$H,Pagos!$D:$D,A298,Pagos!$I:$I,"USD"))</f>
        <v/>
      </c>
      <c r="T298" s="12" t="str">
        <f aca="false">IF(A298="","",SUMIFS(Pagos!$H:$H,Pagos!$D:$D,A298,Pagos!$I:$I,"ARS"))</f>
        <v/>
      </c>
      <c r="U298" s="13" t="str">
        <f aca="false">IF(A298="","",SUMIFS(Pagos!$H:$H,Pagos!$D:$D,A298,Pagos!$I:$I,"USD"))</f>
        <v/>
      </c>
    </row>
    <row r="299" customFormat="false" ht="15" hidden="false" customHeight="false" outlineLevel="0" collapsed="false">
      <c r="A299" s="6"/>
      <c r="B299" s="6"/>
      <c r="C299" s="6"/>
      <c r="D299" s="7"/>
      <c r="E299" s="7"/>
      <c r="F299" s="6"/>
      <c r="G299" s="7"/>
      <c r="H299" s="6"/>
      <c r="I299" s="6"/>
      <c r="J299" s="6"/>
      <c r="K299" s="9"/>
      <c r="L299" s="6"/>
      <c r="M299" s="6"/>
      <c r="N299" s="10"/>
      <c r="O299" s="6"/>
      <c r="P299" s="6"/>
      <c r="Q299" s="11" t="str">
        <f aca="false">IF(A299="","",TRIM(B299&amp;" "&amp;C299))</f>
        <v/>
      </c>
      <c r="R299" s="12" t="str">
        <f aca="false">IF(A299="","",SUMIFS(Sesiones!$F:$F,Sesiones!$C:$C,A299,Sesiones!$G:$G,"ARS")-SUMIFS(Pagos!$H:$H,Pagos!$D:$D,A299,Pagos!$I:$I,"ARS"))</f>
        <v/>
      </c>
      <c r="S299" s="13" t="str">
        <f aca="false">IF(A299="","",SUMIFS(Sesiones!$F:$F,Sesiones!$C:$C,A299,Sesiones!$G:$G,"USD")-SUMIFS(Pagos!$H:$H,Pagos!$D:$D,A299,Pagos!$I:$I,"USD"))</f>
        <v/>
      </c>
      <c r="T299" s="12" t="str">
        <f aca="false">IF(A299="","",SUMIFS(Pagos!$H:$H,Pagos!$D:$D,A299,Pagos!$I:$I,"ARS"))</f>
        <v/>
      </c>
      <c r="U299" s="13" t="str">
        <f aca="false">IF(A299="","",SUMIFS(Pagos!$H:$H,Pagos!$D:$D,A299,Pagos!$I:$I,"USD"))</f>
        <v/>
      </c>
    </row>
    <row r="300" customFormat="false" ht="15" hidden="false" customHeight="false" outlineLevel="0" collapsed="false">
      <c r="A300" s="6"/>
      <c r="B300" s="6"/>
      <c r="C300" s="6"/>
      <c r="D300" s="7"/>
      <c r="E300" s="7"/>
      <c r="F300" s="6"/>
      <c r="G300" s="7"/>
      <c r="H300" s="6"/>
      <c r="I300" s="6"/>
      <c r="J300" s="6"/>
      <c r="K300" s="9"/>
      <c r="L300" s="6"/>
      <c r="M300" s="6"/>
      <c r="N300" s="10"/>
      <c r="O300" s="6"/>
      <c r="P300" s="6"/>
      <c r="Q300" s="11" t="str">
        <f aca="false">IF(A300="","",TRIM(B300&amp;" "&amp;C300))</f>
        <v/>
      </c>
      <c r="R300" s="12" t="str">
        <f aca="false">IF(A300="","",SUMIFS(Sesiones!$F:$F,Sesiones!$C:$C,A300,Sesiones!$G:$G,"ARS")-SUMIFS(Pagos!$H:$H,Pagos!$D:$D,A300,Pagos!$I:$I,"ARS"))</f>
        <v/>
      </c>
      <c r="S300" s="13" t="str">
        <f aca="false">IF(A300="","",SUMIFS(Sesiones!$F:$F,Sesiones!$C:$C,A300,Sesiones!$G:$G,"USD")-SUMIFS(Pagos!$H:$H,Pagos!$D:$D,A300,Pagos!$I:$I,"USD"))</f>
        <v/>
      </c>
      <c r="T300" s="12" t="str">
        <f aca="false">IF(A300="","",SUMIFS(Pagos!$H:$H,Pagos!$D:$D,A300,Pagos!$I:$I,"ARS"))</f>
        <v/>
      </c>
      <c r="U300" s="13" t="str">
        <f aca="false">IF(A300="","",SUMIFS(Pagos!$H:$H,Pagos!$D:$D,A300,Pagos!$I:$I,"USD"))</f>
        <v/>
      </c>
    </row>
    <row r="301" customFormat="false" ht="15" hidden="false" customHeight="false" outlineLevel="0" collapsed="false">
      <c r="A301" s="6"/>
      <c r="B301" s="6"/>
      <c r="C301" s="6"/>
      <c r="D301" s="7"/>
      <c r="E301" s="7"/>
      <c r="F301" s="6"/>
      <c r="G301" s="7"/>
      <c r="H301" s="6"/>
      <c r="I301" s="6"/>
      <c r="J301" s="6"/>
      <c r="K301" s="9"/>
      <c r="L301" s="6"/>
      <c r="M301" s="6"/>
      <c r="N301" s="10"/>
      <c r="O301" s="6"/>
      <c r="P301" s="6"/>
      <c r="Q301" s="11" t="str">
        <f aca="false">IF(A301="","",TRIM(B301&amp;" "&amp;C301))</f>
        <v/>
      </c>
      <c r="R301" s="12" t="str">
        <f aca="false">IF(A301="","",SUMIFS(Sesiones!$F:$F,Sesiones!$C:$C,A301,Sesiones!$G:$G,"ARS")-SUMIFS(Pagos!$H:$H,Pagos!$D:$D,A301,Pagos!$I:$I,"ARS"))</f>
        <v/>
      </c>
      <c r="S301" s="13" t="str">
        <f aca="false">IF(A301="","",SUMIFS(Sesiones!$F:$F,Sesiones!$C:$C,A301,Sesiones!$G:$G,"USD")-SUMIFS(Pagos!$H:$H,Pagos!$D:$D,A301,Pagos!$I:$I,"USD"))</f>
        <v/>
      </c>
      <c r="T301" s="12" t="str">
        <f aca="false">IF(A301="","",SUMIFS(Pagos!$H:$H,Pagos!$D:$D,A301,Pagos!$I:$I,"ARS"))</f>
        <v/>
      </c>
      <c r="U301" s="13" t="str">
        <f aca="false">IF(A301="","",SUMIFS(Pagos!$H:$H,Pagos!$D:$D,A301,Pagos!$I:$I,"USD"))</f>
        <v/>
      </c>
    </row>
    <row r="302" customFormat="false" ht="15" hidden="false" customHeight="false" outlineLevel="0" collapsed="false">
      <c r="A302" s="6"/>
      <c r="B302" s="6"/>
      <c r="C302" s="6"/>
      <c r="D302" s="7"/>
      <c r="E302" s="7"/>
      <c r="F302" s="6"/>
      <c r="G302" s="7"/>
      <c r="H302" s="6"/>
      <c r="I302" s="6"/>
      <c r="J302" s="6"/>
      <c r="K302" s="9"/>
      <c r="L302" s="6"/>
      <c r="M302" s="6"/>
      <c r="N302" s="10"/>
      <c r="O302" s="6"/>
      <c r="P302" s="6"/>
      <c r="Q302" s="11" t="str">
        <f aca="false">IF(A302="","",TRIM(B302&amp;" "&amp;C302))</f>
        <v/>
      </c>
      <c r="R302" s="12" t="str">
        <f aca="false">IF(A302="","",SUMIFS(Sesiones!$F:$F,Sesiones!$C:$C,A302,Sesiones!$G:$G,"ARS")-SUMIFS(Pagos!$H:$H,Pagos!$D:$D,A302,Pagos!$I:$I,"ARS"))</f>
        <v/>
      </c>
      <c r="S302" s="13" t="str">
        <f aca="false">IF(A302="","",SUMIFS(Sesiones!$F:$F,Sesiones!$C:$C,A302,Sesiones!$G:$G,"USD")-SUMIFS(Pagos!$H:$H,Pagos!$D:$D,A302,Pagos!$I:$I,"USD"))</f>
        <v/>
      </c>
      <c r="T302" s="12" t="str">
        <f aca="false">IF(A302="","",SUMIFS(Pagos!$H:$H,Pagos!$D:$D,A302,Pagos!$I:$I,"ARS"))</f>
        <v/>
      </c>
      <c r="U302" s="13" t="str">
        <f aca="false">IF(A302="","",SUMIFS(Pagos!$H:$H,Pagos!$D:$D,A302,Pagos!$I:$I,"USD"))</f>
        <v/>
      </c>
    </row>
    <row r="303" customFormat="false" ht="15" hidden="false" customHeight="false" outlineLevel="0" collapsed="false">
      <c r="A303" s="6"/>
      <c r="B303" s="6"/>
      <c r="C303" s="6"/>
      <c r="D303" s="7"/>
      <c r="E303" s="7"/>
      <c r="F303" s="6"/>
      <c r="G303" s="7"/>
      <c r="H303" s="6"/>
      <c r="I303" s="6"/>
      <c r="J303" s="6"/>
      <c r="K303" s="9"/>
      <c r="L303" s="6"/>
      <c r="M303" s="6"/>
      <c r="N303" s="10"/>
      <c r="O303" s="6"/>
      <c r="P303" s="6"/>
      <c r="Q303" s="11" t="str">
        <f aca="false">IF(A303="","",TRIM(B303&amp;" "&amp;C303))</f>
        <v/>
      </c>
      <c r="R303" s="12" t="str">
        <f aca="false">IF(A303="","",SUMIFS(Sesiones!$F:$F,Sesiones!$C:$C,A303,Sesiones!$G:$G,"ARS")-SUMIFS(Pagos!$H:$H,Pagos!$D:$D,A303,Pagos!$I:$I,"ARS"))</f>
        <v/>
      </c>
      <c r="S303" s="13" t="str">
        <f aca="false">IF(A303="","",SUMIFS(Sesiones!$F:$F,Sesiones!$C:$C,A303,Sesiones!$G:$G,"USD")-SUMIFS(Pagos!$H:$H,Pagos!$D:$D,A303,Pagos!$I:$I,"USD"))</f>
        <v/>
      </c>
      <c r="T303" s="12" t="str">
        <f aca="false">IF(A303="","",SUMIFS(Pagos!$H:$H,Pagos!$D:$D,A303,Pagos!$I:$I,"ARS"))</f>
        <v/>
      </c>
      <c r="U303" s="13" t="str">
        <f aca="false">IF(A303="","",SUMIFS(Pagos!$H:$H,Pagos!$D:$D,A303,Pagos!$I:$I,"USD"))</f>
        <v/>
      </c>
    </row>
    <row r="304" customFormat="false" ht="15" hidden="false" customHeight="false" outlineLevel="0" collapsed="false">
      <c r="A304" s="6"/>
      <c r="B304" s="6"/>
      <c r="C304" s="6"/>
      <c r="D304" s="7"/>
      <c r="E304" s="7"/>
      <c r="F304" s="6"/>
      <c r="G304" s="7"/>
      <c r="H304" s="6"/>
      <c r="I304" s="6"/>
      <c r="J304" s="6"/>
      <c r="K304" s="9"/>
      <c r="L304" s="6"/>
      <c r="M304" s="6"/>
      <c r="N304" s="10"/>
      <c r="O304" s="6"/>
      <c r="P304" s="6"/>
      <c r="Q304" s="11" t="str">
        <f aca="false">IF(A304="","",TRIM(B304&amp;" "&amp;C304))</f>
        <v/>
      </c>
      <c r="R304" s="12" t="str">
        <f aca="false">IF(A304="","",SUMIFS(Sesiones!$F:$F,Sesiones!$C:$C,A304,Sesiones!$G:$G,"ARS")-SUMIFS(Pagos!$H:$H,Pagos!$D:$D,A304,Pagos!$I:$I,"ARS"))</f>
        <v/>
      </c>
      <c r="S304" s="13" t="str">
        <f aca="false">IF(A304="","",SUMIFS(Sesiones!$F:$F,Sesiones!$C:$C,A304,Sesiones!$G:$G,"USD")-SUMIFS(Pagos!$H:$H,Pagos!$D:$D,A304,Pagos!$I:$I,"USD"))</f>
        <v/>
      </c>
      <c r="T304" s="12" t="str">
        <f aca="false">IF(A304="","",SUMIFS(Pagos!$H:$H,Pagos!$D:$D,A304,Pagos!$I:$I,"ARS"))</f>
        <v/>
      </c>
      <c r="U304" s="13" t="str">
        <f aca="false">IF(A304="","",SUMIFS(Pagos!$H:$H,Pagos!$D:$D,A304,Pagos!$I:$I,"USD"))</f>
        <v/>
      </c>
    </row>
    <row r="305" customFormat="false" ht="15" hidden="false" customHeight="false" outlineLevel="0" collapsed="false">
      <c r="A305" s="6"/>
      <c r="B305" s="6"/>
      <c r="C305" s="6"/>
      <c r="D305" s="7"/>
      <c r="E305" s="7"/>
      <c r="F305" s="6"/>
      <c r="G305" s="7"/>
      <c r="H305" s="6"/>
      <c r="I305" s="6"/>
      <c r="J305" s="6"/>
      <c r="K305" s="9"/>
      <c r="L305" s="6"/>
      <c r="M305" s="6"/>
      <c r="N305" s="10"/>
      <c r="O305" s="6"/>
      <c r="P305" s="6"/>
      <c r="Q305" s="11" t="str">
        <f aca="false">IF(A305="","",TRIM(B305&amp;" "&amp;C305))</f>
        <v/>
      </c>
      <c r="R305" s="12" t="str">
        <f aca="false">IF(A305="","",SUMIFS(Sesiones!$F:$F,Sesiones!$C:$C,A305,Sesiones!$G:$G,"ARS")-SUMIFS(Pagos!$H:$H,Pagos!$D:$D,A305,Pagos!$I:$I,"ARS"))</f>
        <v/>
      </c>
      <c r="S305" s="13" t="str">
        <f aca="false">IF(A305="","",SUMIFS(Sesiones!$F:$F,Sesiones!$C:$C,A305,Sesiones!$G:$G,"USD")-SUMIFS(Pagos!$H:$H,Pagos!$D:$D,A305,Pagos!$I:$I,"USD"))</f>
        <v/>
      </c>
      <c r="T305" s="12" t="str">
        <f aca="false">IF(A305="","",SUMIFS(Pagos!$H:$H,Pagos!$D:$D,A305,Pagos!$I:$I,"ARS"))</f>
        <v/>
      </c>
      <c r="U305" s="13" t="str">
        <f aca="false">IF(A305="","",SUMIFS(Pagos!$H:$H,Pagos!$D:$D,A305,Pagos!$I:$I,"USD"))</f>
        <v/>
      </c>
    </row>
    <row r="306" customFormat="false" ht="15" hidden="false" customHeight="false" outlineLevel="0" collapsed="false">
      <c r="A306" s="6"/>
      <c r="B306" s="6"/>
      <c r="C306" s="6"/>
      <c r="D306" s="7"/>
      <c r="E306" s="7"/>
      <c r="F306" s="6"/>
      <c r="G306" s="7"/>
      <c r="H306" s="6"/>
      <c r="I306" s="6"/>
      <c r="J306" s="6"/>
      <c r="K306" s="9"/>
      <c r="L306" s="6"/>
      <c r="M306" s="6"/>
      <c r="N306" s="10"/>
      <c r="O306" s="6"/>
      <c r="P306" s="6"/>
      <c r="Q306" s="11" t="str">
        <f aca="false">IF(A306="","",TRIM(B306&amp;" "&amp;C306))</f>
        <v/>
      </c>
      <c r="R306" s="12" t="str">
        <f aca="false">IF(A306="","",SUMIFS(Sesiones!$F:$F,Sesiones!$C:$C,A306,Sesiones!$G:$G,"ARS")-SUMIFS(Pagos!$H:$H,Pagos!$D:$D,A306,Pagos!$I:$I,"ARS"))</f>
        <v/>
      </c>
      <c r="S306" s="13" t="str">
        <f aca="false">IF(A306="","",SUMIFS(Sesiones!$F:$F,Sesiones!$C:$C,A306,Sesiones!$G:$G,"USD")-SUMIFS(Pagos!$H:$H,Pagos!$D:$D,A306,Pagos!$I:$I,"USD"))</f>
        <v/>
      </c>
      <c r="T306" s="12" t="str">
        <f aca="false">IF(A306="","",SUMIFS(Pagos!$H:$H,Pagos!$D:$D,A306,Pagos!$I:$I,"ARS"))</f>
        <v/>
      </c>
      <c r="U306" s="13" t="str">
        <f aca="false">IF(A306="","",SUMIFS(Pagos!$H:$H,Pagos!$D:$D,A306,Pagos!$I:$I,"USD"))</f>
        <v/>
      </c>
    </row>
    <row r="307" customFormat="false" ht="15" hidden="false" customHeight="false" outlineLevel="0" collapsed="false">
      <c r="A307" s="6"/>
      <c r="B307" s="6"/>
      <c r="C307" s="6"/>
      <c r="D307" s="7"/>
      <c r="E307" s="7"/>
      <c r="F307" s="6"/>
      <c r="G307" s="7"/>
      <c r="H307" s="6"/>
      <c r="I307" s="6"/>
      <c r="J307" s="6"/>
      <c r="K307" s="9"/>
      <c r="L307" s="6"/>
      <c r="M307" s="6"/>
      <c r="N307" s="10"/>
      <c r="O307" s="6"/>
      <c r="P307" s="6"/>
      <c r="Q307" s="11" t="str">
        <f aca="false">IF(A307="","",TRIM(B307&amp;" "&amp;C307))</f>
        <v/>
      </c>
      <c r="R307" s="12" t="str">
        <f aca="false">IF(A307="","",SUMIFS(Sesiones!$F:$F,Sesiones!$C:$C,A307,Sesiones!$G:$G,"ARS")-SUMIFS(Pagos!$H:$H,Pagos!$D:$D,A307,Pagos!$I:$I,"ARS"))</f>
        <v/>
      </c>
      <c r="S307" s="13" t="str">
        <f aca="false">IF(A307="","",SUMIFS(Sesiones!$F:$F,Sesiones!$C:$C,A307,Sesiones!$G:$G,"USD")-SUMIFS(Pagos!$H:$H,Pagos!$D:$D,A307,Pagos!$I:$I,"USD"))</f>
        <v/>
      </c>
      <c r="T307" s="12" t="str">
        <f aca="false">IF(A307="","",SUMIFS(Pagos!$H:$H,Pagos!$D:$D,A307,Pagos!$I:$I,"ARS"))</f>
        <v/>
      </c>
      <c r="U307" s="13" t="str">
        <f aca="false">IF(A307="","",SUMIFS(Pagos!$H:$H,Pagos!$D:$D,A307,Pagos!$I:$I,"USD"))</f>
        <v/>
      </c>
    </row>
    <row r="308" customFormat="false" ht="15" hidden="false" customHeight="false" outlineLevel="0" collapsed="false">
      <c r="A308" s="6"/>
      <c r="B308" s="6"/>
      <c r="C308" s="6"/>
      <c r="D308" s="7"/>
      <c r="E308" s="7"/>
      <c r="F308" s="6"/>
      <c r="G308" s="7"/>
      <c r="H308" s="6"/>
      <c r="I308" s="6"/>
      <c r="J308" s="6"/>
      <c r="K308" s="9"/>
      <c r="L308" s="6"/>
      <c r="M308" s="6"/>
      <c r="N308" s="10"/>
      <c r="O308" s="6"/>
      <c r="P308" s="6"/>
      <c r="Q308" s="11" t="str">
        <f aca="false">IF(A308="","",TRIM(B308&amp;" "&amp;C308))</f>
        <v/>
      </c>
      <c r="R308" s="12" t="str">
        <f aca="false">IF(A308="","",SUMIFS(Sesiones!$F:$F,Sesiones!$C:$C,A308,Sesiones!$G:$G,"ARS")-SUMIFS(Pagos!$H:$H,Pagos!$D:$D,A308,Pagos!$I:$I,"ARS"))</f>
        <v/>
      </c>
      <c r="S308" s="13" t="str">
        <f aca="false">IF(A308="","",SUMIFS(Sesiones!$F:$F,Sesiones!$C:$C,A308,Sesiones!$G:$G,"USD")-SUMIFS(Pagos!$H:$H,Pagos!$D:$D,A308,Pagos!$I:$I,"USD"))</f>
        <v/>
      </c>
      <c r="T308" s="12" t="str">
        <f aca="false">IF(A308="","",SUMIFS(Pagos!$H:$H,Pagos!$D:$D,A308,Pagos!$I:$I,"ARS"))</f>
        <v/>
      </c>
      <c r="U308" s="13" t="str">
        <f aca="false">IF(A308="","",SUMIFS(Pagos!$H:$H,Pagos!$D:$D,A308,Pagos!$I:$I,"USD"))</f>
        <v/>
      </c>
    </row>
    <row r="309" customFormat="false" ht="15" hidden="false" customHeight="false" outlineLevel="0" collapsed="false">
      <c r="A309" s="6"/>
      <c r="B309" s="6"/>
      <c r="C309" s="6"/>
      <c r="D309" s="7"/>
      <c r="E309" s="7"/>
      <c r="F309" s="6"/>
      <c r="G309" s="7"/>
      <c r="H309" s="6"/>
      <c r="I309" s="6"/>
      <c r="J309" s="6"/>
      <c r="K309" s="9"/>
      <c r="L309" s="6"/>
      <c r="M309" s="6"/>
      <c r="N309" s="10"/>
      <c r="O309" s="6"/>
      <c r="P309" s="6"/>
      <c r="Q309" s="11" t="str">
        <f aca="false">IF(A309="","",TRIM(B309&amp;" "&amp;C309))</f>
        <v/>
      </c>
      <c r="R309" s="12" t="str">
        <f aca="false">IF(A309="","",SUMIFS(Sesiones!$F:$F,Sesiones!$C:$C,A309,Sesiones!$G:$G,"ARS")-SUMIFS(Pagos!$H:$H,Pagos!$D:$D,A309,Pagos!$I:$I,"ARS"))</f>
        <v/>
      </c>
      <c r="S309" s="13" t="str">
        <f aca="false">IF(A309="","",SUMIFS(Sesiones!$F:$F,Sesiones!$C:$C,A309,Sesiones!$G:$G,"USD")-SUMIFS(Pagos!$H:$H,Pagos!$D:$D,A309,Pagos!$I:$I,"USD"))</f>
        <v/>
      </c>
      <c r="T309" s="12" t="str">
        <f aca="false">IF(A309="","",SUMIFS(Pagos!$H:$H,Pagos!$D:$D,A309,Pagos!$I:$I,"ARS"))</f>
        <v/>
      </c>
      <c r="U309" s="13" t="str">
        <f aca="false">IF(A309="","",SUMIFS(Pagos!$H:$H,Pagos!$D:$D,A309,Pagos!$I:$I,"USD"))</f>
        <v/>
      </c>
    </row>
    <row r="310" customFormat="false" ht="15" hidden="false" customHeight="false" outlineLevel="0" collapsed="false">
      <c r="A310" s="6"/>
      <c r="B310" s="6"/>
      <c r="C310" s="6"/>
      <c r="D310" s="7"/>
      <c r="E310" s="7"/>
      <c r="F310" s="6"/>
      <c r="G310" s="7"/>
      <c r="H310" s="6"/>
      <c r="I310" s="6"/>
      <c r="J310" s="6"/>
      <c r="K310" s="9"/>
      <c r="L310" s="6"/>
      <c r="M310" s="6"/>
      <c r="N310" s="10"/>
      <c r="O310" s="6"/>
      <c r="P310" s="6"/>
      <c r="Q310" s="11" t="str">
        <f aca="false">IF(A310="","",TRIM(B310&amp;" "&amp;C310))</f>
        <v/>
      </c>
      <c r="R310" s="12" t="str">
        <f aca="false">IF(A310="","",SUMIFS(Sesiones!$F:$F,Sesiones!$C:$C,A310,Sesiones!$G:$G,"ARS")-SUMIFS(Pagos!$H:$H,Pagos!$D:$D,A310,Pagos!$I:$I,"ARS"))</f>
        <v/>
      </c>
      <c r="S310" s="13" t="str">
        <f aca="false">IF(A310="","",SUMIFS(Sesiones!$F:$F,Sesiones!$C:$C,A310,Sesiones!$G:$G,"USD")-SUMIFS(Pagos!$H:$H,Pagos!$D:$D,A310,Pagos!$I:$I,"USD"))</f>
        <v/>
      </c>
      <c r="T310" s="12" t="str">
        <f aca="false">IF(A310="","",SUMIFS(Pagos!$H:$H,Pagos!$D:$D,A310,Pagos!$I:$I,"ARS"))</f>
        <v/>
      </c>
      <c r="U310" s="13" t="str">
        <f aca="false">IF(A310="","",SUMIFS(Pagos!$H:$H,Pagos!$D:$D,A310,Pagos!$I:$I,"USD"))</f>
        <v/>
      </c>
    </row>
    <row r="311" customFormat="false" ht="15" hidden="false" customHeight="false" outlineLevel="0" collapsed="false">
      <c r="A311" s="6"/>
      <c r="B311" s="6"/>
      <c r="C311" s="6"/>
      <c r="D311" s="7"/>
      <c r="E311" s="7"/>
      <c r="F311" s="6"/>
      <c r="G311" s="7"/>
      <c r="H311" s="6"/>
      <c r="I311" s="6"/>
      <c r="J311" s="6"/>
      <c r="K311" s="9"/>
      <c r="L311" s="6"/>
      <c r="M311" s="6"/>
      <c r="N311" s="10"/>
      <c r="O311" s="6"/>
      <c r="P311" s="6"/>
      <c r="Q311" s="11" t="str">
        <f aca="false">IF(A311="","",TRIM(B311&amp;" "&amp;C311))</f>
        <v/>
      </c>
      <c r="R311" s="12" t="str">
        <f aca="false">IF(A311="","",SUMIFS(Sesiones!$F:$F,Sesiones!$C:$C,A311,Sesiones!$G:$G,"ARS")-SUMIFS(Pagos!$H:$H,Pagos!$D:$D,A311,Pagos!$I:$I,"ARS"))</f>
        <v/>
      </c>
      <c r="S311" s="13" t="str">
        <f aca="false">IF(A311="","",SUMIFS(Sesiones!$F:$F,Sesiones!$C:$C,A311,Sesiones!$G:$G,"USD")-SUMIFS(Pagos!$H:$H,Pagos!$D:$D,A311,Pagos!$I:$I,"USD"))</f>
        <v/>
      </c>
      <c r="T311" s="12" t="str">
        <f aca="false">IF(A311="","",SUMIFS(Pagos!$H:$H,Pagos!$D:$D,A311,Pagos!$I:$I,"ARS"))</f>
        <v/>
      </c>
      <c r="U311" s="13" t="str">
        <f aca="false">IF(A311="","",SUMIFS(Pagos!$H:$H,Pagos!$D:$D,A311,Pagos!$I:$I,"USD"))</f>
        <v/>
      </c>
    </row>
    <row r="312" customFormat="false" ht="15" hidden="false" customHeight="false" outlineLevel="0" collapsed="false">
      <c r="A312" s="6"/>
      <c r="B312" s="6"/>
      <c r="C312" s="6"/>
      <c r="D312" s="7"/>
      <c r="E312" s="7"/>
      <c r="F312" s="6"/>
      <c r="G312" s="7"/>
      <c r="H312" s="6"/>
      <c r="I312" s="6"/>
      <c r="J312" s="6"/>
      <c r="K312" s="9"/>
      <c r="L312" s="6"/>
      <c r="M312" s="6"/>
      <c r="N312" s="10"/>
      <c r="O312" s="6"/>
      <c r="P312" s="6"/>
      <c r="Q312" s="11" t="str">
        <f aca="false">IF(A312="","",TRIM(B312&amp;" "&amp;C312))</f>
        <v/>
      </c>
      <c r="R312" s="12" t="str">
        <f aca="false">IF(A312="","",SUMIFS(Sesiones!$F:$F,Sesiones!$C:$C,A312,Sesiones!$G:$G,"ARS")-SUMIFS(Pagos!$H:$H,Pagos!$D:$D,A312,Pagos!$I:$I,"ARS"))</f>
        <v/>
      </c>
      <c r="S312" s="13" t="str">
        <f aca="false">IF(A312="","",SUMIFS(Sesiones!$F:$F,Sesiones!$C:$C,A312,Sesiones!$G:$G,"USD")-SUMIFS(Pagos!$H:$H,Pagos!$D:$D,A312,Pagos!$I:$I,"USD"))</f>
        <v/>
      </c>
      <c r="T312" s="12" t="str">
        <f aca="false">IF(A312="","",SUMIFS(Pagos!$H:$H,Pagos!$D:$D,A312,Pagos!$I:$I,"ARS"))</f>
        <v/>
      </c>
      <c r="U312" s="13" t="str">
        <f aca="false">IF(A312="","",SUMIFS(Pagos!$H:$H,Pagos!$D:$D,A312,Pagos!$I:$I,"USD"))</f>
        <v/>
      </c>
    </row>
    <row r="313" customFormat="false" ht="15" hidden="false" customHeight="false" outlineLevel="0" collapsed="false">
      <c r="A313" s="6"/>
      <c r="B313" s="6"/>
      <c r="C313" s="6"/>
      <c r="D313" s="7"/>
      <c r="E313" s="7"/>
      <c r="F313" s="6"/>
      <c r="G313" s="7"/>
      <c r="H313" s="6"/>
      <c r="I313" s="6"/>
      <c r="J313" s="6"/>
      <c r="K313" s="9"/>
      <c r="L313" s="6"/>
      <c r="M313" s="6"/>
      <c r="N313" s="10"/>
      <c r="O313" s="6"/>
      <c r="P313" s="6"/>
      <c r="Q313" s="11" t="str">
        <f aca="false">IF(A313="","",TRIM(B313&amp;" "&amp;C313))</f>
        <v/>
      </c>
      <c r="R313" s="12" t="str">
        <f aca="false">IF(A313="","",SUMIFS(Sesiones!$F:$F,Sesiones!$C:$C,A313,Sesiones!$G:$G,"ARS")-SUMIFS(Pagos!$H:$H,Pagos!$D:$D,A313,Pagos!$I:$I,"ARS"))</f>
        <v/>
      </c>
      <c r="S313" s="13" t="str">
        <f aca="false">IF(A313="","",SUMIFS(Sesiones!$F:$F,Sesiones!$C:$C,A313,Sesiones!$G:$G,"USD")-SUMIFS(Pagos!$H:$H,Pagos!$D:$D,A313,Pagos!$I:$I,"USD"))</f>
        <v/>
      </c>
      <c r="T313" s="12" t="str">
        <f aca="false">IF(A313="","",SUMIFS(Pagos!$H:$H,Pagos!$D:$D,A313,Pagos!$I:$I,"ARS"))</f>
        <v/>
      </c>
      <c r="U313" s="13" t="str">
        <f aca="false">IF(A313="","",SUMIFS(Pagos!$H:$H,Pagos!$D:$D,A313,Pagos!$I:$I,"USD"))</f>
        <v/>
      </c>
    </row>
    <row r="314" customFormat="false" ht="15" hidden="false" customHeight="false" outlineLevel="0" collapsed="false">
      <c r="A314" s="6"/>
      <c r="B314" s="6"/>
      <c r="C314" s="6"/>
      <c r="D314" s="7"/>
      <c r="E314" s="7"/>
      <c r="F314" s="6"/>
      <c r="G314" s="7"/>
      <c r="H314" s="6"/>
      <c r="I314" s="6"/>
      <c r="J314" s="6"/>
      <c r="K314" s="9"/>
      <c r="L314" s="6"/>
      <c r="M314" s="6"/>
      <c r="N314" s="10"/>
      <c r="O314" s="6"/>
      <c r="P314" s="6"/>
      <c r="Q314" s="11" t="str">
        <f aca="false">IF(A314="","",TRIM(B314&amp;" "&amp;C314))</f>
        <v/>
      </c>
      <c r="R314" s="12" t="str">
        <f aca="false">IF(A314="","",SUMIFS(Sesiones!$F:$F,Sesiones!$C:$C,A314,Sesiones!$G:$G,"ARS")-SUMIFS(Pagos!$H:$H,Pagos!$D:$D,A314,Pagos!$I:$I,"ARS"))</f>
        <v/>
      </c>
      <c r="S314" s="13" t="str">
        <f aca="false">IF(A314="","",SUMIFS(Sesiones!$F:$F,Sesiones!$C:$C,A314,Sesiones!$G:$G,"USD")-SUMIFS(Pagos!$H:$H,Pagos!$D:$D,A314,Pagos!$I:$I,"USD"))</f>
        <v/>
      </c>
      <c r="T314" s="12" t="str">
        <f aca="false">IF(A314="","",SUMIFS(Pagos!$H:$H,Pagos!$D:$D,A314,Pagos!$I:$I,"ARS"))</f>
        <v/>
      </c>
      <c r="U314" s="13" t="str">
        <f aca="false">IF(A314="","",SUMIFS(Pagos!$H:$H,Pagos!$D:$D,A314,Pagos!$I:$I,"USD"))</f>
        <v/>
      </c>
    </row>
    <row r="315" customFormat="false" ht="15" hidden="false" customHeight="false" outlineLevel="0" collapsed="false">
      <c r="A315" s="6"/>
      <c r="B315" s="6"/>
      <c r="C315" s="6"/>
      <c r="D315" s="7"/>
      <c r="E315" s="7"/>
      <c r="F315" s="6"/>
      <c r="G315" s="7"/>
      <c r="H315" s="6"/>
      <c r="I315" s="6"/>
      <c r="J315" s="6"/>
      <c r="K315" s="9"/>
      <c r="L315" s="6"/>
      <c r="M315" s="6"/>
      <c r="N315" s="10"/>
      <c r="O315" s="6"/>
      <c r="P315" s="6"/>
      <c r="Q315" s="11" t="str">
        <f aca="false">IF(A315="","",TRIM(B315&amp;" "&amp;C315))</f>
        <v/>
      </c>
      <c r="R315" s="12" t="str">
        <f aca="false">IF(A315="","",SUMIFS(Sesiones!$F:$F,Sesiones!$C:$C,A315,Sesiones!$G:$G,"ARS")-SUMIFS(Pagos!$H:$H,Pagos!$D:$D,A315,Pagos!$I:$I,"ARS"))</f>
        <v/>
      </c>
      <c r="S315" s="13" t="str">
        <f aca="false">IF(A315="","",SUMIFS(Sesiones!$F:$F,Sesiones!$C:$C,A315,Sesiones!$G:$G,"USD")-SUMIFS(Pagos!$H:$H,Pagos!$D:$D,A315,Pagos!$I:$I,"USD"))</f>
        <v/>
      </c>
      <c r="T315" s="12" t="str">
        <f aca="false">IF(A315="","",SUMIFS(Pagos!$H:$H,Pagos!$D:$D,A315,Pagos!$I:$I,"ARS"))</f>
        <v/>
      </c>
      <c r="U315" s="13" t="str">
        <f aca="false">IF(A315="","",SUMIFS(Pagos!$H:$H,Pagos!$D:$D,A315,Pagos!$I:$I,"USD"))</f>
        <v/>
      </c>
    </row>
    <row r="316" customFormat="false" ht="15" hidden="false" customHeight="false" outlineLevel="0" collapsed="false">
      <c r="A316" s="6"/>
      <c r="B316" s="6"/>
      <c r="C316" s="6"/>
      <c r="D316" s="7"/>
      <c r="E316" s="7"/>
      <c r="F316" s="6"/>
      <c r="G316" s="7"/>
      <c r="H316" s="6"/>
      <c r="I316" s="6"/>
      <c r="J316" s="6"/>
      <c r="K316" s="9"/>
      <c r="L316" s="6"/>
      <c r="M316" s="6"/>
      <c r="N316" s="10"/>
      <c r="O316" s="6"/>
      <c r="P316" s="6"/>
      <c r="Q316" s="11" t="str">
        <f aca="false">IF(A316="","",TRIM(B316&amp;" "&amp;C316))</f>
        <v/>
      </c>
      <c r="R316" s="12" t="str">
        <f aca="false">IF(A316="","",SUMIFS(Sesiones!$F:$F,Sesiones!$C:$C,A316,Sesiones!$G:$G,"ARS")-SUMIFS(Pagos!$H:$H,Pagos!$D:$D,A316,Pagos!$I:$I,"ARS"))</f>
        <v/>
      </c>
      <c r="S316" s="13" t="str">
        <f aca="false">IF(A316="","",SUMIFS(Sesiones!$F:$F,Sesiones!$C:$C,A316,Sesiones!$G:$G,"USD")-SUMIFS(Pagos!$H:$H,Pagos!$D:$D,A316,Pagos!$I:$I,"USD"))</f>
        <v/>
      </c>
      <c r="T316" s="12" t="str">
        <f aca="false">IF(A316="","",SUMIFS(Pagos!$H:$H,Pagos!$D:$D,A316,Pagos!$I:$I,"ARS"))</f>
        <v/>
      </c>
      <c r="U316" s="13" t="str">
        <f aca="false">IF(A316="","",SUMIFS(Pagos!$H:$H,Pagos!$D:$D,A316,Pagos!$I:$I,"USD"))</f>
        <v/>
      </c>
    </row>
    <row r="317" customFormat="false" ht="15" hidden="false" customHeight="false" outlineLevel="0" collapsed="false">
      <c r="A317" s="6"/>
      <c r="B317" s="6"/>
      <c r="C317" s="6"/>
      <c r="D317" s="7"/>
      <c r="E317" s="7"/>
      <c r="F317" s="6"/>
      <c r="G317" s="7"/>
      <c r="H317" s="6"/>
      <c r="I317" s="6"/>
      <c r="J317" s="6"/>
      <c r="K317" s="9"/>
      <c r="L317" s="6"/>
      <c r="M317" s="6"/>
      <c r="N317" s="10"/>
      <c r="O317" s="6"/>
      <c r="P317" s="6"/>
      <c r="Q317" s="11" t="str">
        <f aca="false">IF(A317="","",TRIM(B317&amp;" "&amp;C317))</f>
        <v/>
      </c>
      <c r="R317" s="12" t="str">
        <f aca="false">IF(A317="","",SUMIFS(Sesiones!$F:$F,Sesiones!$C:$C,A317,Sesiones!$G:$G,"ARS")-SUMIFS(Pagos!$H:$H,Pagos!$D:$D,A317,Pagos!$I:$I,"ARS"))</f>
        <v/>
      </c>
      <c r="S317" s="13" t="str">
        <f aca="false">IF(A317="","",SUMIFS(Sesiones!$F:$F,Sesiones!$C:$C,A317,Sesiones!$G:$G,"USD")-SUMIFS(Pagos!$H:$H,Pagos!$D:$D,A317,Pagos!$I:$I,"USD"))</f>
        <v/>
      </c>
      <c r="T317" s="12" t="str">
        <f aca="false">IF(A317="","",SUMIFS(Pagos!$H:$H,Pagos!$D:$D,A317,Pagos!$I:$I,"ARS"))</f>
        <v/>
      </c>
      <c r="U317" s="13" t="str">
        <f aca="false">IF(A317="","",SUMIFS(Pagos!$H:$H,Pagos!$D:$D,A317,Pagos!$I:$I,"USD"))</f>
        <v/>
      </c>
    </row>
    <row r="318" customFormat="false" ht="15" hidden="false" customHeight="false" outlineLevel="0" collapsed="false">
      <c r="A318" s="6"/>
      <c r="B318" s="6"/>
      <c r="C318" s="6"/>
      <c r="D318" s="7"/>
      <c r="E318" s="7"/>
      <c r="F318" s="6"/>
      <c r="G318" s="7"/>
      <c r="H318" s="6"/>
      <c r="I318" s="6"/>
      <c r="J318" s="6"/>
      <c r="K318" s="9"/>
      <c r="L318" s="6"/>
      <c r="M318" s="6"/>
      <c r="N318" s="10"/>
      <c r="O318" s="6"/>
      <c r="P318" s="6"/>
      <c r="Q318" s="11" t="str">
        <f aca="false">IF(A318="","",TRIM(B318&amp;" "&amp;C318))</f>
        <v/>
      </c>
      <c r="R318" s="12" t="str">
        <f aca="false">IF(A318="","",SUMIFS(Sesiones!$F:$F,Sesiones!$C:$C,A318,Sesiones!$G:$G,"ARS")-SUMIFS(Pagos!$H:$H,Pagos!$D:$D,A318,Pagos!$I:$I,"ARS"))</f>
        <v/>
      </c>
      <c r="S318" s="13" t="str">
        <f aca="false">IF(A318="","",SUMIFS(Sesiones!$F:$F,Sesiones!$C:$C,A318,Sesiones!$G:$G,"USD")-SUMIFS(Pagos!$H:$H,Pagos!$D:$D,A318,Pagos!$I:$I,"USD"))</f>
        <v/>
      </c>
      <c r="T318" s="12" t="str">
        <f aca="false">IF(A318="","",SUMIFS(Pagos!$H:$H,Pagos!$D:$D,A318,Pagos!$I:$I,"ARS"))</f>
        <v/>
      </c>
      <c r="U318" s="13" t="str">
        <f aca="false">IF(A318="","",SUMIFS(Pagos!$H:$H,Pagos!$D:$D,A318,Pagos!$I:$I,"USD"))</f>
        <v/>
      </c>
    </row>
    <row r="319" customFormat="false" ht="15" hidden="false" customHeight="false" outlineLevel="0" collapsed="false">
      <c r="A319" s="6"/>
      <c r="B319" s="6"/>
      <c r="C319" s="6"/>
      <c r="D319" s="7"/>
      <c r="E319" s="7"/>
      <c r="F319" s="6"/>
      <c r="G319" s="7"/>
      <c r="H319" s="6"/>
      <c r="I319" s="6"/>
      <c r="J319" s="6"/>
      <c r="K319" s="9"/>
      <c r="L319" s="6"/>
      <c r="M319" s="6"/>
      <c r="N319" s="10"/>
      <c r="O319" s="6"/>
      <c r="P319" s="6"/>
      <c r="Q319" s="11" t="str">
        <f aca="false">IF(A319="","",TRIM(B319&amp;" "&amp;C319))</f>
        <v/>
      </c>
      <c r="R319" s="12" t="str">
        <f aca="false">IF(A319="","",SUMIFS(Sesiones!$F:$F,Sesiones!$C:$C,A319,Sesiones!$G:$G,"ARS")-SUMIFS(Pagos!$H:$H,Pagos!$D:$D,A319,Pagos!$I:$I,"ARS"))</f>
        <v/>
      </c>
      <c r="S319" s="13" t="str">
        <f aca="false">IF(A319="","",SUMIFS(Sesiones!$F:$F,Sesiones!$C:$C,A319,Sesiones!$G:$G,"USD")-SUMIFS(Pagos!$H:$H,Pagos!$D:$D,A319,Pagos!$I:$I,"USD"))</f>
        <v/>
      </c>
      <c r="T319" s="12" t="str">
        <f aca="false">IF(A319="","",SUMIFS(Pagos!$H:$H,Pagos!$D:$D,A319,Pagos!$I:$I,"ARS"))</f>
        <v/>
      </c>
      <c r="U319" s="13" t="str">
        <f aca="false">IF(A319="","",SUMIFS(Pagos!$H:$H,Pagos!$D:$D,A319,Pagos!$I:$I,"USD"))</f>
        <v/>
      </c>
    </row>
    <row r="320" customFormat="false" ht="15" hidden="false" customHeight="false" outlineLevel="0" collapsed="false">
      <c r="A320" s="6"/>
      <c r="B320" s="6"/>
      <c r="C320" s="6"/>
      <c r="D320" s="7"/>
      <c r="E320" s="7"/>
      <c r="F320" s="6"/>
      <c r="G320" s="7"/>
      <c r="H320" s="6"/>
      <c r="I320" s="6"/>
      <c r="J320" s="6"/>
      <c r="K320" s="9"/>
      <c r="L320" s="6"/>
      <c r="M320" s="6"/>
      <c r="N320" s="10"/>
      <c r="O320" s="6"/>
      <c r="P320" s="6"/>
      <c r="Q320" s="11" t="str">
        <f aca="false">IF(A320="","",TRIM(B320&amp;" "&amp;C320))</f>
        <v/>
      </c>
      <c r="R320" s="12" t="str">
        <f aca="false">IF(A320="","",SUMIFS(Sesiones!$F:$F,Sesiones!$C:$C,A320,Sesiones!$G:$G,"ARS")-SUMIFS(Pagos!$H:$H,Pagos!$D:$D,A320,Pagos!$I:$I,"ARS"))</f>
        <v/>
      </c>
      <c r="S320" s="13" t="str">
        <f aca="false">IF(A320="","",SUMIFS(Sesiones!$F:$F,Sesiones!$C:$C,A320,Sesiones!$G:$G,"USD")-SUMIFS(Pagos!$H:$H,Pagos!$D:$D,A320,Pagos!$I:$I,"USD"))</f>
        <v/>
      </c>
      <c r="T320" s="12" t="str">
        <f aca="false">IF(A320="","",SUMIFS(Pagos!$H:$H,Pagos!$D:$D,A320,Pagos!$I:$I,"ARS"))</f>
        <v/>
      </c>
      <c r="U320" s="13" t="str">
        <f aca="false">IF(A320="","",SUMIFS(Pagos!$H:$H,Pagos!$D:$D,A320,Pagos!$I:$I,"USD"))</f>
        <v/>
      </c>
    </row>
    <row r="321" customFormat="false" ht="15" hidden="false" customHeight="false" outlineLevel="0" collapsed="false">
      <c r="A321" s="6"/>
      <c r="B321" s="6"/>
      <c r="C321" s="6"/>
      <c r="D321" s="7"/>
      <c r="E321" s="7"/>
      <c r="F321" s="6"/>
      <c r="G321" s="7"/>
      <c r="H321" s="6"/>
      <c r="I321" s="6"/>
      <c r="J321" s="6"/>
      <c r="K321" s="9"/>
      <c r="L321" s="6"/>
      <c r="M321" s="6"/>
      <c r="N321" s="10"/>
      <c r="O321" s="6"/>
      <c r="P321" s="6"/>
      <c r="Q321" s="11" t="str">
        <f aca="false">IF(A321="","",TRIM(B321&amp;" "&amp;C321))</f>
        <v/>
      </c>
      <c r="R321" s="12" t="str">
        <f aca="false">IF(A321="","",SUMIFS(Sesiones!$F:$F,Sesiones!$C:$C,A321,Sesiones!$G:$G,"ARS")-SUMIFS(Pagos!$H:$H,Pagos!$D:$D,A321,Pagos!$I:$I,"ARS"))</f>
        <v/>
      </c>
      <c r="S321" s="13" t="str">
        <f aca="false">IF(A321="","",SUMIFS(Sesiones!$F:$F,Sesiones!$C:$C,A321,Sesiones!$G:$G,"USD")-SUMIFS(Pagos!$H:$H,Pagos!$D:$D,A321,Pagos!$I:$I,"USD"))</f>
        <v/>
      </c>
      <c r="T321" s="12" t="str">
        <f aca="false">IF(A321="","",SUMIFS(Pagos!$H:$H,Pagos!$D:$D,A321,Pagos!$I:$I,"ARS"))</f>
        <v/>
      </c>
      <c r="U321" s="13" t="str">
        <f aca="false">IF(A321="","",SUMIFS(Pagos!$H:$H,Pagos!$D:$D,A321,Pagos!$I:$I,"USD"))</f>
        <v/>
      </c>
    </row>
    <row r="322" customFormat="false" ht="15" hidden="false" customHeight="false" outlineLevel="0" collapsed="false">
      <c r="A322" s="6"/>
      <c r="B322" s="6"/>
      <c r="C322" s="6"/>
      <c r="D322" s="7"/>
      <c r="E322" s="7"/>
      <c r="F322" s="6"/>
      <c r="G322" s="7"/>
      <c r="H322" s="6"/>
      <c r="I322" s="6"/>
      <c r="J322" s="6"/>
      <c r="K322" s="9"/>
      <c r="L322" s="6"/>
      <c r="M322" s="6"/>
      <c r="N322" s="10"/>
      <c r="O322" s="6"/>
      <c r="P322" s="6"/>
      <c r="Q322" s="11" t="str">
        <f aca="false">IF(A322="","",TRIM(B322&amp;" "&amp;C322))</f>
        <v/>
      </c>
      <c r="R322" s="12" t="str">
        <f aca="false">IF(A322="","",SUMIFS(Sesiones!$F:$F,Sesiones!$C:$C,A322,Sesiones!$G:$G,"ARS")-SUMIFS(Pagos!$H:$H,Pagos!$D:$D,A322,Pagos!$I:$I,"ARS"))</f>
        <v/>
      </c>
      <c r="S322" s="13" t="str">
        <f aca="false">IF(A322="","",SUMIFS(Sesiones!$F:$F,Sesiones!$C:$C,A322,Sesiones!$G:$G,"USD")-SUMIFS(Pagos!$H:$H,Pagos!$D:$D,A322,Pagos!$I:$I,"USD"))</f>
        <v/>
      </c>
      <c r="T322" s="12" t="str">
        <f aca="false">IF(A322="","",SUMIFS(Pagos!$H:$H,Pagos!$D:$D,A322,Pagos!$I:$I,"ARS"))</f>
        <v/>
      </c>
      <c r="U322" s="13" t="str">
        <f aca="false">IF(A322="","",SUMIFS(Pagos!$H:$H,Pagos!$D:$D,A322,Pagos!$I:$I,"USD"))</f>
        <v/>
      </c>
    </row>
    <row r="323" customFormat="false" ht="15" hidden="false" customHeight="false" outlineLevel="0" collapsed="false">
      <c r="A323" s="6"/>
      <c r="B323" s="6"/>
      <c r="C323" s="6"/>
      <c r="D323" s="7"/>
      <c r="E323" s="7"/>
      <c r="F323" s="6"/>
      <c r="G323" s="7"/>
      <c r="H323" s="6"/>
      <c r="I323" s="6"/>
      <c r="J323" s="6"/>
      <c r="K323" s="9"/>
      <c r="L323" s="6"/>
      <c r="M323" s="6"/>
      <c r="N323" s="10"/>
      <c r="O323" s="6"/>
      <c r="P323" s="6"/>
      <c r="Q323" s="11" t="str">
        <f aca="false">IF(A323="","",TRIM(B323&amp;" "&amp;C323))</f>
        <v/>
      </c>
      <c r="R323" s="12" t="str">
        <f aca="false">IF(A323="","",SUMIFS(Sesiones!$F:$F,Sesiones!$C:$C,A323,Sesiones!$G:$G,"ARS")-SUMIFS(Pagos!$H:$H,Pagos!$D:$D,A323,Pagos!$I:$I,"ARS"))</f>
        <v/>
      </c>
      <c r="S323" s="13" t="str">
        <f aca="false">IF(A323="","",SUMIFS(Sesiones!$F:$F,Sesiones!$C:$C,A323,Sesiones!$G:$G,"USD")-SUMIFS(Pagos!$H:$H,Pagos!$D:$D,A323,Pagos!$I:$I,"USD"))</f>
        <v/>
      </c>
      <c r="T323" s="12" t="str">
        <f aca="false">IF(A323="","",SUMIFS(Pagos!$H:$H,Pagos!$D:$D,A323,Pagos!$I:$I,"ARS"))</f>
        <v/>
      </c>
      <c r="U323" s="13" t="str">
        <f aca="false">IF(A323="","",SUMIFS(Pagos!$H:$H,Pagos!$D:$D,A323,Pagos!$I:$I,"USD"))</f>
        <v/>
      </c>
    </row>
    <row r="324" customFormat="false" ht="15" hidden="false" customHeight="false" outlineLevel="0" collapsed="false">
      <c r="A324" s="6"/>
      <c r="B324" s="6"/>
      <c r="C324" s="6"/>
      <c r="D324" s="7"/>
      <c r="E324" s="7"/>
      <c r="F324" s="6"/>
      <c r="G324" s="7"/>
      <c r="H324" s="6"/>
      <c r="I324" s="6"/>
      <c r="J324" s="6"/>
      <c r="K324" s="9"/>
      <c r="L324" s="6"/>
      <c r="M324" s="6"/>
      <c r="N324" s="10"/>
      <c r="O324" s="6"/>
      <c r="P324" s="6"/>
      <c r="Q324" s="11" t="str">
        <f aca="false">IF(A324="","",TRIM(B324&amp;" "&amp;C324))</f>
        <v/>
      </c>
      <c r="R324" s="12" t="str">
        <f aca="false">IF(A324="","",SUMIFS(Sesiones!$F:$F,Sesiones!$C:$C,A324,Sesiones!$G:$G,"ARS")-SUMIFS(Pagos!$H:$H,Pagos!$D:$D,A324,Pagos!$I:$I,"ARS"))</f>
        <v/>
      </c>
      <c r="S324" s="13" t="str">
        <f aca="false">IF(A324="","",SUMIFS(Sesiones!$F:$F,Sesiones!$C:$C,A324,Sesiones!$G:$G,"USD")-SUMIFS(Pagos!$H:$H,Pagos!$D:$D,A324,Pagos!$I:$I,"USD"))</f>
        <v/>
      </c>
      <c r="T324" s="12" t="str">
        <f aca="false">IF(A324="","",SUMIFS(Pagos!$H:$H,Pagos!$D:$D,A324,Pagos!$I:$I,"ARS"))</f>
        <v/>
      </c>
      <c r="U324" s="13" t="str">
        <f aca="false">IF(A324="","",SUMIFS(Pagos!$H:$H,Pagos!$D:$D,A324,Pagos!$I:$I,"USD"))</f>
        <v/>
      </c>
    </row>
    <row r="325" customFormat="false" ht="15" hidden="false" customHeight="false" outlineLevel="0" collapsed="false">
      <c r="A325" s="6"/>
      <c r="B325" s="6"/>
      <c r="C325" s="6"/>
      <c r="D325" s="7"/>
      <c r="E325" s="7"/>
      <c r="F325" s="6"/>
      <c r="G325" s="7"/>
      <c r="H325" s="6"/>
      <c r="I325" s="6"/>
      <c r="J325" s="6"/>
      <c r="K325" s="9"/>
      <c r="L325" s="6"/>
      <c r="M325" s="6"/>
      <c r="N325" s="10"/>
      <c r="O325" s="6"/>
      <c r="P325" s="6"/>
      <c r="Q325" s="11" t="str">
        <f aca="false">IF(A325="","",TRIM(B325&amp;" "&amp;C325))</f>
        <v/>
      </c>
      <c r="R325" s="12" t="str">
        <f aca="false">IF(A325="","",SUMIFS(Sesiones!$F:$F,Sesiones!$C:$C,A325,Sesiones!$G:$G,"ARS")-SUMIFS(Pagos!$H:$H,Pagos!$D:$D,A325,Pagos!$I:$I,"ARS"))</f>
        <v/>
      </c>
      <c r="S325" s="13" t="str">
        <f aca="false">IF(A325="","",SUMIFS(Sesiones!$F:$F,Sesiones!$C:$C,A325,Sesiones!$G:$G,"USD")-SUMIFS(Pagos!$H:$H,Pagos!$D:$D,A325,Pagos!$I:$I,"USD"))</f>
        <v/>
      </c>
      <c r="T325" s="12" t="str">
        <f aca="false">IF(A325="","",SUMIFS(Pagos!$H:$H,Pagos!$D:$D,A325,Pagos!$I:$I,"ARS"))</f>
        <v/>
      </c>
      <c r="U325" s="13" t="str">
        <f aca="false">IF(A325="","",SUMIFS(Pagos!$H:$H,Pagos!$D:$D,A325,Pagos!$I:$I,"USD"))</f>
        <v/>
      </c>
    </row>
    <row r="326" customFormat="false" ht="15" hidden="false" customHeight="false" outlineLevel="0" collapsed="false">
      <c r="A326" s="6"/>
      <c r="B326" s="6"/>
      <c r="C326" s="6"/>
      <c r="D326" s="7"/>
      <c r="E326" s="7"/>
      <c r="F326" s="6"/>
      <c r="G326" s="7"/>
      <c r="H326" s="6"/>
      <c r="I326" s="6"/>
      <c r="J326" s="6"/>
      <c r="K326" s="9"/>
      <c r="L326" s="6"/>
      <c r="M326" s="6"/>
      <c r="N326" s="10"/>
      <c r="O326" s="6"/>
      <c r="P326" s="6"/>
      <c r="Q326" s="11" t="str">
        <f aca="false">IF(A326="","",TRIM(B326&amp;" "&amp;C326))</f>
        <v/>
      </c>
      <c r="R326" s="12" t="str">
        <f aca="false">IF(A326="","",SUMIFS(Sesiones!$F:$F,Sesiones!$C:$C,A326,Sesiones!$G:$G,"ARS")-SUMIFS(Pagos!$H:$H,Pagos!$D:$D,A326,Pagos!$I:$I,"ARS"))</f>
        <v/>
      </c>
      <c r="S326" s="13" t="str">
        <f aca="false">IF(A326="","",SUMIFS(Sesiones!$F:$F,Sesiones!$C:$C,A326,Sesiones!$G:$G,"USD")-SUMIFS(Pagos!$H:$H,Pagos!$D:$D,A326,Pagos!$I:$I,"USD"))</f>
        <v/>
      </c>
      <c r="T326" s="12" t="str">
        <f aca="false">IF(A326="","",SUMIFS(Pagos!$H:$H,Pagos!$D:$D,A326,Pagos!$I:$I,"ARS"))</f>
        <v/>
      </c>
      <c r="U326" s="13" t="str">
        <f aca="false">IF(A326="","",SUMIFS(Pagos!$H:$H,Pagos!$D:$D,A326,Pagos!$I:$I,"USD"))</f>
        <v/>
      </c>
    </row>
    <row r="327" customFormat="false" ht="15" hidden="false" customHeight="false" outlineLevel="0" collapsed="false">
      <c r="A327" s="6"/>
      <c r="B327" s="6"/>
      <c r="C327" s="6"/>
      <c r="D327" s="7"/>
      <c r="E327" s="7"/>
      <c r="F327" s="6"/>
      <c r="G327" s="7"/>
      <c r="H327" s="6"/>
      <c r="I327" s="6"/>
      <c r="J327" s="6"/>
      <c r="K327" s="9"/>
      <c r="L327" s="6"/>
      <c r="M327" s="6"/>
      <c r="N327" s="10"/>
      <c r="O327" s="6"/>
      <c r="P327" s="6"/>
      <c r="Q327" s="11" t="str">
        <f aca="false">IF(A327="","",TRIM(B327&amp;" "&amp;C327))</f>
        <v/>
      </c>
      <c r="R327" s="12" t="str">
        <f aca="false">IF(A327="","",SUMIFS(Sesiones!$F:$F,Sesiones!$C:$C,A327,Sesiones!$G:$G,"ARS")-SUMIFS(Pagos!$H:$H,Pagos!$D:$D,A327,Pagos!$I:$I,"ARS"))</f>
        <v/>
      </c>
      <c r="S327" s="13" t="str">
        <f aca="false">IF(A327="","",SUMIFS(Sesiones!$F:$F,Sesiones!$C:$C,A327,Sesiones!$G:$G,"USD")-SUMIFS(Pagos!$H:$H,Pagos!$D:$D,A327,Pagos!$I:$I,"USD"))</f>
        <v/>
      </c>
      <c r="T327" s="12" t="str">
        <f aca="false">IF(A327="","",SUMIFS(Pagos!$H:$H,Pagos!$D:$D,A327,Pagos!$I:$I,"ARS"))</f>
        <v/>
      </c>
      <c r="U327" s="13" t="str">
        <f aca="false">IF(A327="","",SUMIFS(Pagos!$H:$H,Pagos!$D:$D,A327,Pagos!$I:$I,"USD"))</f>
        <v/>
      </c>
    </row>
    <row r="328" customFormat="false" ht="15" hidden="false" customHeight="false" outlineLevel="0" collapsed="false">
      <c r="A328" s="6"/>
      <c r="B328" s="6"/>
      <c r="C328" s="6"/>
      <c r="D328" s="7"/>
      <c r="E328" s="7"/>
      <c r="F328" s="6"/>
      <c r="G328" s="7"/>
      <c r="H328" s="6"/>
      <c r="I328" s="6"/>
      <c r="J328" s="6"/>
      <c r="K328" s="9"/>
      <c r="L328" s="6"/>
      <c r="M328" s="6"/>
      <c r="N328" s="10"/>
      <c r="O328" s="6"/>
      <c r="P328" s="6"/>
      <c r="Q328" s="11" t="str">
        <f aca="false">IF(A328="","",TRIM(B328&amp;" "&amp;C328))</f>
        <v/>
      </c>
      <c r="R328" s="12" t="str">
        <f aca="false">IF(A328="","",SUMIFS(Sesiones!$F:$F,Sesiones!$C:$C,A328,Sesiones!$G:$G,"ARS")-SUMIFS(Pagos!$H:$H,Pagos!$D:$D,A328,Pagos!$I:$I,"ARS"))</f>
        <v/>
      </c>
      <c r="S328" s="13" t="str">
        <f aca="false">IF(A328="","",SUMIFS(Sesiones!$F:$F,Sesiones!$C:$C,A328,Sesiones!$G:$G,"USD")-SUMIFS(Pagos!$H:$H,Pagos!$D:$D,A328,Pagos!$I:$I,"USD"))</f>
        <v/>
      </c>
      <c r="T328" s="12" t="str">
        <f aca="false">IF(A328="","",SUMIFS(Pagos!$H:$H,Pagos!$D:$D,A328,Pagos!$I:$I,"ARS"))</f>
        <v/>
      </c>
      <c r="U328" s="13" t="str">
        <f aca="false">IF(A328="","",SUMIFS(Pagos!$H:$H,Pagos!$D:$D,A328,Pagos!$I:$I,"USD"))</f>
        <v/>
      </c>
    </row>
    <row r="329" customFormat="false" ht="15" hidden="false" customHeight="false" outlineLevel="0" collapsed="false">
      <c r="A329" s="6"/>
      <c r="B329" s="6"/>
      <c r="C329" s="6"/>
      <c r="D329" s="7"/>
      <c r="E329" s="7"/>
      <c r="F329" s="6"/>
      <c r="G329" s="7"/>
      <c r="H329" s="6"/>
      <c r="I329" s="6"/>
      <c r="J329" s="6"/>
      <c r="K329" s="9"/>
      <c r="L329" s="6"/>
      <c r="M329" s="6"/>
      <c r="N329" s="10"/>
      <c r="O329" s="6"/>
      <c r="P329" s="6"/>
      <c r="Q329" s="11" t="str">
        <f aca="false">IF(A329="","",TRIM(B329&amp;" "&amp;C329))</f>
        <v/>
      </c>
      <c r="R329" s="12" t="str">
        <f aca="false">IF(A329="","",SUMIFS(Sesiones!$F:$F,Sesiones!$C:$C,A329,Sesiones!$G:$G,"ARS")-SUMIFS(Pagos!$H:$H,Pagos!$D:$D,A329,Pagos!$I:$I,"ARS"))</f>
        <v/>
      </c>
      <c r="S329" s="13" t="str">
        <f aca="false">IF(A329="","",SUMIFS(Sesiones!$F:$F,Sesiones!$C:$C,A329,Sesiones!$G:$G,"USD")-SUMIFS(Pagos!$H:$H,Pagos!$D:$D,A329,Pagos!$I:$I,"USD"))</f>
        <v/>
      </c>
      <c r="T329" s="12" t="str">
        <f aca="false">IF(A329="","",SUMIFS(Pagos!$H:$H,Pagos!$D:$D,A329,Pagos!$I:$I,"ARS"))</f>
        <v/>
      </c>
      <c r="U329" s="13" t="str">
        <f aca="false">IF(A329="","",SUMIFS(Pagos!$H:$H,Pagos!$D:$D,A329,Pagos!$I:$I,"USD"))</f>
        <v/>
      </c>
    </row>
    <row r="330" customFormat="false" ht="15" hidden="false" customHeight="false" outlineLevel="0" collapsed="false">
      <c r="A330" s="6"/>
      <c r="B330" s="6"/>
      <c r="C330" s="6"/>
      <c r="D330" s="7"/>
      <c r="E330" s="7"/>
      <c r="F330" s="6"/>
      <c r="G330" s="7"/>
      <c r="H330" s="6"/>
      <c r="I330" s="6"/>
      <c r="J330" s="6"/>
      <c r="K330" s="9"/>
      <c r="L330" s="6"/>
      <c r="M330" s="6"/>
      <c r="N330" s="10"/>
      <c r="O330" s="6"/>
      <c r="P330" s="6"/>
      <c r="Q330" s="11" t="str">
        <f aca="false">IF(A330="","",TRIM(B330&amp;" "&amp;C330))</f>
        <v/>
      </c>
      <c r="R330" s="12" t="str">
        <f aca="false">IF(A330="","",SUMIFS(Sesiones!$F:$F,Sesiones!$C:$C,A330,Sesiones!$G:$G,"ARS")-SUMIFS(Pagos!$H:$H,Pagos!$D:$D,A330,Pagos!$I:$I,"ARS"))</f>
        <v/>
      </c>
      <c r="S330" s="13" t="str">
        <f aca="false">IF(A330="","",SUMIFS(Sesiones!$F:$F,Sesiones!$C:$C,A330,Sesiones!$G:$G,"USD")-SUMIFS(Pagos!$H:$H,Pagos!$D:$D,A330,Pagos!$I:$I,"USD"))</f>
        <v/>
      </c>
      <c r="T330" s="12" t="str">
        <f aca="false">IF(A330="","",SUMIFS(Pagos!$H:$H,Pagos!$D:$D,A330,Pagos!$I:$I,"ARS"))</f>
        <v/>
      </c>
      <c r="U330" s="13" t="str">
        <f aca="false">IF(A330="","",SUMIFS(Pagos!$H:$H,Pagos!$D:$D,A330,Pagos!$I:$I,"USD"))</f>
        <v/>
      </c>
    </row>
    <row r="331" customFormat="false" ht="15" hidden="false" customHeight="false" outlineLevel="0" collapsed="false">
      <c r="A331" s="6"/>
      <c r="B331" s="6"/>
      <c r="C331" s="6"/>
      <c r="D331" s="7"/>
      <c r="E331" s="7"/>
      <c r="F331" s="6"/>
      <c r="G331" s="7"/>
      <c r="H331" s="6"/>
      <c r="I331" s="6"/>
      <c r="J331" s="6"/>
      <c r="K331" s="9"/>
      <c r="L331" s="6"/>
      <c r="M331" s="6"/>
      <c r="N331" s="10"/>
      <c r="O331" s="6"/>
      <c r="P331" s="6"/>
      <c r="Q331" s="11" t="str">
        <f aca="false">IF(A331="","",TRIM(B331&amp;" "&amp;C331))</f>
        <v/>
      </c>
      <c r="R331" s="12" t="str">
        <f aca="false">IF(A331="","",SUMIFS(Sesiones!$F:$F,Sesiones!$C:$C,A331,Sesiones!$G:$G,"ARS")-SUMIFS(Pagos!$H:$H,Pagos!$D:$D,A331,Pagos!$I:$I,"ARS"))</f>
        <v/>
      </c>
      <c r="S331" s="13" t="str">
        <f aca="false">IF(A331="","",SUMIFS(Sesiones!$F:$F,Sesiones!$C:$C,A331,Sesiones!$G:$G,"USD")-SUMIFS(Pagos!$H:$H,Pagos!$D:$D,A331,Pagos!$I:$I,"USD"))</f>
        <v/>
      </c>
      <c r="T331" s="12" t="str">
        <f aca="false">IF(A331="","",SUMIFS(Pagos!$H:$H,Pagos!$D:$D,A331,Pagos!$I:$I,"ARS"))</f>
        <v/>
      </c>
      <c r="U331" s="13" t="str">
        <f aca="false">IF(A331="","",SUMIFS(Pagos!$H:$H,Pagos!$D:$D,A331,Pagos!$I:$I,"USD"))</f>
        <v/>
      </c>
    </row>
    <row r="332" customFormat="false" ht="15" hidden="false" customHeight="false" outlineLevel="0" collapsed="false">
      <c r="A332" s="6"/>
      <c r="B332" s="6"/>
      <c r="C332" s="6"/>
      <c r="D332" s="7"/>
      <c r="E332" s="7"/>
      <c r="F332" s="6"/>
      <c r="G332" s="7"/>
      <c r="H332" s="6"/>
      <c r="I332" s="6"/>
      <c r="J332" s="6"/>
      <c r="K332" s="9"/>
      <c r="L332" s="6"/>
      <c r="M332" s="6"/>
      <c r="N332" s="10"/>
      <c r="O332" s="6"/>
      <c r="P332" s="6"/>
      <c r="Q332" s="11" t="str">
        <f aca="false">IF(A332="","",TRIM(B332&amp;" "&amp;C332))</f>
        <v/>
      </c>
      <c r="R332" s="12" t="str">
        <f aca="false">IF(A332="","",SUMIFS(Sesiones!$F:$F,Sesiones!$C:$C,A332,Sesiones!$G:$G,"ARS")-SUMIFS(Pagos!$H:$H,Pagos!$D:$D,A332,Pagos!$I:$I,"ARS"))</f>
        <v/>
      </c>
      <c r="S332" s="13" t="str">
        <f aca="false">IF(A332="","",SUMIFS(Sesiones!$F:$F,Sesiones!$C:$C,A332,Sesiones!$G:$G,"USD")-SUMIFS(Pagos!$H:$H,Pagos!$D:$D,A332,Pagos!$I:$I,"USD"))</f>
        <v/>
      </c>
      <c r="T332" s="12" t="str">
        <f aca="false">IF(A332="","",SUMIFS(Pagos!$H:$H,Pagos!$D:$D,A332,Pagos!$I:$I,"ARS"))</f>
        <v/>
      </c>
      <c r="U332" s="13" t="str">
        <f aca="false">IF(A332="","",SUMIFS(Pagos!$H:$H,Pagos!$D:$D,A332,Pagos!$I:$I,"USD"))</f>
        <v/>
      </c>
    </row>
    <row r="333" customFormat="false" ht="15" hidden="false" customHeight="false" outlineLevel="0" collapsed="false">
      <c r="A333" s="6"/>
      <c r="B333" s="6"/>
      <c r="C333" s="6"/>
      <c r="D333" s="7"/>
      <c r="E333" s="7"/>
      <c r="F333" s="6"/>
      <c r="G333" s="7"/>
      <c r="H333" s="6"/>
      <c r="I333" s="6"/>
      <c r="J333" s="6"/>
      <c r="K333" s="9"/>
      <c r="L333" s="6"/>
      <c r="M333" s="6"/>
      <c r="N333" s="10"/>
      <c r="O333" s="6"/>
      <c r="P333" s="6"/>
      <c r="Q333" s="11" t="str">
        <f aca="false">IF(A333="","",TRIM(B333&amp;" "&amp;C333))</f>
        <v/>
      </c>
      <c r="R333" s="12" t="str">
        <f aca="false">IF(A333="","",SUMIFS(Sesiones!$F:$F,Sesiones!$C:$C,A333,Sesiones!$G:$G,"ARS")-SUMIFS(Pagos!$H:$H,Pagos!$D:$D,A333,Pagos!$I:$I,"ARS"))</f>
        <v/>
      </c>
      <c r="S333" s="13" t="str">
        <f aca="false">IF(A333="","",SUMIFS(Sesiones!$F:$F,Sesiones!$C:$C,A333,Sesiones!$G:$G,"USD")-SUMIFS(Pagos!$H:$H,Pagos!$D:$D,A333,Pagos!$I:$I,"USD"))</f>
        <v/>
      </c>
      <c r="T333" s="12" t="str">
        <f aca="false">IF(A333="","",SUMIFS(Pagos!$H:$H,Pagos!$D:$D,A333,Pagos!$I:$I,"ARS"))</f>
        <v/>
      </c>
      <c r="U333" s="13" t="str">
        <f aca="false">IF(A333="","",SUMIFS(Pagos!$H:$H,Pagos!$D:$D,A333,Pagos!$I:$I,"USD"))</f>
        <v/>
      </c>
    </row>
    <row r="334" customFormat="false" ht="15" hidden="false" customHeight="false" outlineLevel="0" collapsed="false">
      <c r="A334" s="6"/>
      <c r="B334" s="6"/>
      <c r="C334" s="6"/>
      <c r="D334" s="7"/>
      <c r="E334" s="7"/>
      <c r="F334" s="6"/>
      <c r="G334" s="7"/>
      <c r="H334" s="6"/>
      <c r="I334" s="6"/>
      <c r="J334" s="6"/>
      <c r="K334" s="9"/>
      <c r="L334" s="6"/>
      <c r="M334" s="6"/>
      <c r="N334" s="10"/>
      <c r="O334" s="6"/>
      <c r="P334" s="6"/>
      <c r="Q334" s="11" t="str">
        <f aca="false">IF(A334="","",TRIM(B334&amp;" "&amp;C334))</f>
        <v/>
      </c>
      <c r="R334" s="12" t="str">
        <f aca="false">IF(A334="","",SUMIFS(Sesiones!$F:$F,Sesiones!$C:$C,A334,Sesiones!$G:$G,"ARS")-SUMIFS(Pagos!$H:$H,Pagos!$D:$D,A334,Pagos!$I:$I,"ARS"))</f>
        <v/>
      </c>
      <c r="S334" s="13" t="str">
        <f aca="false">IF(A334="","",SUMIFS(Sesiones!$F:$F,Sesiones!$C:$C,A334,Sesiones!$G:$G,"USD")-SUMIFS(Pagos!$H:$H,Pagos!$D:$D,A334,Pagos!$I:$I,"USD"))</f>
        <v/>
      </c>
      <c r="T334" s="12" t="str">
        <f aca="false">IF(A334="","",SUMIFS(Pagos!$H:$H,Pagos!$D:$D,A334,Pagos!$I:$I,"ARS"))</f>
        <v/>
      </c>
      <c r="U334" s="13" t="str">
        <f aca="false">IF(A334="","",SUMIFS(Pagos!$H:$H,Pagos!$D:$D,A334,Pagos!$I:$I,"USD"))</f>
        <v/>
      </c>
    </row>
    <row r="335" customFormat="false" ht="15" hidden="false" customHeight="false" outlineLevel="0" collapsed="false">
      <c r="A335" s="6"/>
      <c r="B335" s="6"/>
      <c r="C335" s="6"/>
      <c r="D335" s="7"/>
      <c r="E335" s="7"/>
      <c r="F335" s="6"/>
      <c r="G335" s="7"/>
      <c r="H335" s="6"/>
      <c r="I335" s="6"/>
      <c r="J335" s="6"/>
      <c r="K335" s="9"/>
      <c r="L335" s="6"/>
      <c r="M335" s="6"/>
      <c r="N335" s="10"/>
      <c r="O335" s="6"/>
      <c r="P335" s="6"/>
      <c r="Q335" s="11" t="str">
        <f aca="false">IF(A335="","",TRIM(B335&amp;" "&amp;C335))</f>
        <v/>
      </c>
      <c r="R335" s="12" t="str">
        <f aca="false">IF(A335="","",SUMIFS(Sesiones!$F:$F,Sesiones!$C:$C,A335,Sesiones!$G:$G,"ARS")-SUMIFS(Pagos!$H:$H,Pagos!$D:$D,A335,Pagos!$I:$I,"ARS"))</f>
        <v/>
      </c>
      <c r="S335" s="13" t="str">
        <f aca="false">IF(A335="","",SUMIFS(Sesiones!$F:$F,Sesiones!$C:$C,A335,Sesiones!$G:$G,"USD")-SUMIFS(Pagos!$H:$H,Pagos!$D:$D,A335,Pagos!$I:$I,"USD"))</f>
        <v/>
      </c>
      <c r="T335" s="12" t="str">
        <f aca="false">IF(A335="","",SUMIFS(Pagos!$H:$H,Pagos!$D:$D,A335,Pagos!$I:$I,"ARS"))</f>
        <v/>
      </c>
      <c r="U335" s="13" t="str">
        <f aca="false">IF(A335="","",SUMIFS(Pagos!$H:$H,Pagos!$D:$D,A335,Pagos!$I:$I,"USD"))</f>
        <v/>
      </c>
    </row>
    <row r="336" customFormat="false" ht="15" hidden="false" customHeight="false" outlineLevel="0" collapsed="false">
      <c r="A336" s="6"/>
      <c r="B336" s="6"/>
      <c r="C336" s="6"/>
      <c r="D336" s="7"/>
      <c r="E336" s="7"/>
      <c r="F336" s="6"/>
      <c r="G336" s="7"/>
      <c r="H336" s="6"/>
      <c r="I336" s="6"/>
      <c r="J336" s="6"/>
      <c r="K336" s="9"/>
      <c r="L336" s="6"/>
      <c r="M336" s="6"/>
      <c r="N336" s="10"/>
      <c r="O336" s="6"/>
      <c r="P336" s="6"/>
      <c r="Q336" s="11" t="str">
        <f aca="false">IF(A336="","",TRIM(B336&amp;" "&amp;C336))</f>
        <v/>
      </c>
      <c r="R336" s="12" t="str">
        <f aca="false">IF(A336="","",SUMIFS(Sesiones!$F:$F,Sesiones!$C:$C,A336,Sesiones!$G:$G,"ARS")-SUMIFS(Pagos!$H:$H,Pagos!$D:$D,A336,Pagos!$I:$I,"ARS"))</f>
        <v/>
      </c>
      <c r="S336" s="13" t="str">
        <f aca="false">IF(A336="","",SUMIFS(Sesiones!$F:$F,Sesiones!$C:$C,A336,Sesiones!$G:$G,"USD")-SUMIFS(Pagos!$H:$H,Pagos!$D:$D,A336,Pagos!$I:$I,"USD"))</f>
        <v/>
      </c>
      <c r="T336" s="12" t="str">
        <f aca="false">IF(A336="","",SUMIFS(Pagos!$H:$H,Pagos!$D:$D,A336,Pagos!$I:$I,"ARS"))</f>
        <v/>
      </c>
      <c r="U336" s="13" t="str">
        <f aca="false">IF(A336="","",SUMIFS(Pagos!$H:$H,Pagos!$D:$D,A336,Pagos!$I:$I,"USD"))</f>
        <v/>
      </c>
    </row>
    <row r="337" customFormat="false" ht="15" hidden="false" customHeight="false" outlineLevel="0" collapsed="false">
      <c r="A337" s="6"/>
      <c r="B337" s="6"/>
      <c r="C337" s="6"/>
      <c r="D337" s="7"/>
      <c r="E337" s="7"/>
      <c r="F337" s="6"/>
      <c r="G337" s="7"/>
      <c r="H337" s="6"/>
      <c r="I337" s="6"/>
      <c r="J337" s="6"/>
      <c r="K337" s="9"/>
      <c r="L337" s="6"/>
      <c r="M337" s="6"/>
      <c r="N337" s="10"/>
      <c r="O337" s="6"/>
      <c r="P337" s="6"/>
      <c r="Q337" s="11" t="str">
        <f aca="false">IF(A337="","",TRIM(B337&amp;" "&amp;C337))</f>
        <v/>
      </c>
      <c r="R337" s="12" t="str">
        <f aca="false">IF(A337="","",SUMIFS(Sesiones!$F:$F,Sesiones!$C:$C,A337,Sesiones!$G:$G,"ARS")-SUMIFS(Pagos!$H:$H,Pagos!$D:$D,A337,Pagos!$I:$I,"ARS"))</f>
        <v/>
      </c>
      <c r="S337" s="13" t="str">
        <f aca="false">IF(A337="","",SUMIFS(Sesiones!$F:$F,Sesiones!$C:$C,A337,Sesiones!$G:$G,"USD")-SUMIFS(Pagos!$H:$H,Pagos!$D:$D,A337,Pagos!$I:$I,"USD"))</f>
        <v/>
      </c>
      <c r="T337" s="12" t="str">
        <f aca="false">IF(A337="","",SUMIFS(Pagos!$H:$H,Pagos!$D:$D,A337,Pagos!$I:$I,"ARS"))</f>
        <v/>
      </c>
      <c r="U337" s="13" t="str">
        <f aca="false">IF(A337="","",SUMIFS(Pagos!$H:$H,Pagos!$D:$D,A337,Pagos!$I:$I,"USD"))</f>
        <v/>
      </c>
    </row>
    <row r="338" customFormat="false" ht="15" hidden="false" customHeight="false" outlineLevel="0" collapsed="false">
      <c r="A338" s="6"/>
      <c r="B338" s="6"/>
      <c r="C338" s="6"/>
      <c r="D338" s="7"/>
      <c r="E338" s="7"/>
      <c r="F338" s="6"/>
      <c r="G338" s="7"/>
      <c r="H338" s="6"/>
      <c r="I338" s="6"/>
      <c r="J338" s="6"/>
      <c r="K338" s="9"/>
      <c r="L338" s="6"/>
      <c r="M338" s="6"/>
      <c r="N338" s="10"/>
      <c r="O338" s="6"/>
      <c r="P338" s="6"/>
      <c r="Q338" s="11" t="str">
        <f aca="false">IF(A338="","",TRIM(B338&amp;" "&amp;C338))</f>
        <v/>
      </c>
      <c r="R338" s="12" t="str">
        <f aca="false">IF(A338="","",SUMIFS(Sesiones!$F:$F,Sesiones!$C:$C,A338,Sesiones!$G:$G,"ARS")-SUMIFS(Pagos!$H:$H,Pagos!$D:$D,A338,Pagos!$I:$I,"ARS"))</f>
        <v/>
      </c>
      <c r="S338" s="13" t="str">
        <f aca="false">IF(A338="","",SUMIFS(Sesiones!$F:$F,Sesiones!$C:$C,A338,Sesiones!$G:$G,"USD")-SUMIFS(Pagos!$H:$H,Pagos!$D:$D,A338,Pagos!$I:$I,"USD"))</f>
        <v/>
      </c>
      <c r="T338" s="12" t="str">
        <f aca="false">IF(A338="","",SUMIFS(Pagos!$H:$H,Pagos!$D:$D,A338,Pagos!$I:$I,"ARS"))</f>
        <v/>
      </c>
      <c r="U338" s="13" t="str">
        <f aca="false">IF(A338="","",SUMIFS(Pagos!$H:$H,Pagos!$D:$D,A338,Pagos!$I:$I,"USD"))</f>
        <v/>
      </c>
    </row>
    <row r="339" customFormat="false" ht="15" hidden="false" customHeight="false" outlineLevel="0" collapsed="false">
      <c r="A339" s="6"/>
      <c r="B339" s="6"/>
      <c r="C339" s="6"/>
      <c r="D339" s="7"/>
      <c r="E339" s="7"/>
      <c r="F339" s="6"/>
      <c r="G339" s="7"/>
      <c r="H339" s="6"/>
      <c r="I339" s="6"/>
      <c r="J339" s="6"/>
      <c r="K339" s="9"/>
      <c r="L339" s="6"/>
      <c r="M339" s="6"/>
      <c r="N339" s="10"/>
      <c r="O339" s="6"/>
      <c r="P339" s="6"/>
      <c r="Q339" s="11" t="str">
        <f aca="false">IF(A339="","",TRIM(B339&amp;" "&amp;C339))</f>
        <v/>
      </c>
      <c r="R339" s="12" t="str">
        <f aca="false">IF(A339="","",SUMIFS(Sesiones!$F:$F,Sesiones!$C:$C,A339,Sesiones!$G:$G,"ARS")-SUMIFS(Pagos!$H:$H,Pagos!$D:$D,A339,Pagos!$I:$I,"ARS"))</f>
        <v/>
      </c>
      <c r="S339" s="13" t="str">
        <f aca="false">IF(A339="","",SUMIFS(Sesiones!$F:$F,Sesiones!$C:$C,A339,Sesiones!$G:$G,"USD")-SUMIFS(Pagos!$H:$H,Pagos!$D:$D,A339,Pagos!$I:$I,"USD"))</f>
        <v/>
      </c>
      <c r="T339" s="12" t="str">
        <f aca="false">IF(A339="","",SUMIFS(Pagos!$H:$H,Pagos!$D:$D,A339,Pagos!$I:$I,"ARS"))</f>
        <v/>
      </c>
      <c r="U339" s="13" t="str">
        <f aca="false">IF(A339="","",SUMIFS(Pagos!$H:$H,Pagos!$D:$D,A339,Pagos!$I:$I,"USD"))</f>
        <v/>
      </c>
    </row>
    <row r="340" customFormat="false" ht="15" hidden="false" customHeight="false" outlineLevel="0" collapsed="false">
      <c r="A340" s="6"/>
      <c r="B340" s="6"/>
      <c r="C340" s="6"/>
      <c r="D340" s="7"/>
      <c r="E340" s="7"/>
      <c r="F340" s="6"/>
      <c r="G340" s="7"/>
      <c r="H340" s="6"/>
      <c r="I340" s="6"/>
      <c r="J340" s="6"/>
      <c r="K340" s="9"/>
      <c r="L340" s="6"/>
      <c r="M340" s="6"/>
      <c r="N340" s="10"/>
      <c r="O340" s="6"/>
      <c r="P340" s="6"/>
      <c r="Q340" s="11" t="str">
        <f aca="false">IF(A340="","",TRIM(B340&amp;" "&amp;C340))</f>
        <v/>
      </c>
      <c r="R340" s="12" t="str">
        <f aca="false">IF(A340="","",SUMIFS(Sesiones!$F:$F,Sesiones!$C:$C,A340,Sesiones!$G:$G,"ARS")-SUMIFS(Pagos!$H:$H,Pagos!$D:$D,A340,Pagos!$I:$I,"ARS"))</f>
        <v/>
      </c>
      <c r="S340" s="13" t="str">
        <f aca="false">IF(A340="","",SUMIFS(Sesiones!$F:$F,Sesiones!$C:$C,A340,Sesiones!$G:$G,"USD")-SUMIFS(Pagos!$H:$H,Pagos!$D:$D,A340,Pagos!$I:$I,"USD"))</f>
        <v/>
      </c>
      <c r="T340" s="12" t="str">
        <f aca="false">IF(A340="","",SUMIFS(Pagos!$H:$H,Pagos!$D:$D,A340,Pagos!$I:$I,"ARS"))</f>
        <v/>
      </c>
      <c r="U340" s="13" t="str">
        <f aca="false">IF(A340="","",SUMIFS(Pagos!$H:$H,Pagos!$D:$D,A340,Pagos!$I:$I,"USD"))</f>
        <v/>
      </c>
    </row>
    <row r="341" customFormat="false" ht="15" hidden="false" customHeight="false" outlineLevel="0" collapsed="false">
      <c r="A341" s="6"/>
      <c r="B341" s="6"/>
      <c r="C341" s="6"/>
      <c r="D341" s="7"/>
      <c r="E341" s="7"/>
      <c r="F341" s="6"/>
      <c r="G341" s="7"/>
      <c r="H341" s="6"/>
      <c r="I341" s="6"/>
      <c r="J341" s="6"/>
      <c r="K341" s="9"/>
      <c r="L341" s="6"/>
      <c r="M341" s="6"/>
      <c r="N341" s="10"/>
      <c r="O341" s="6"/>
      <c r="P341" s="6"/>
      <c r="Q341" s="11" t="str">
        <f aca="false">IF(A341="","",TRIM(B341&amp;" "&amp;C341))</f>
        <v/>
      </c>
      <c r="R341" s="12" t="str">
        <f aca="false">IF(A341="","",SUMIFS(Sesiones!$F:$F,Sesiones!$C:$C,A341,Sesiones!$G:$G,"ARS")-SUMIFS(Pagos!$H:$H,Pagos!$D:$D,A341,Pagos!$I:$I,"ARS"))</f>
        <v/>
      </c>
      <c r="S341" s="13" t="str">
        <f aca="false">IF(A341="","",SUMIFS(Sesiones!$F:$F,Sesiones!$C:$C,A341,Sesiones!$G:$G,"USD")-SUMIFS(Pagos!$H:$H,Pagos!$D:$D,A341,Pagos!$I:$I,"USD"))</f>
        <v/>
      </c>
      <c r="T341" s="12" t="str">
        <f aca="false">IF(A341="","",SUMIFS(Pagos!$H:$H,Pagos!$D:$D,A341,Pagos!$I:$I,"ARS"))</f>
        <v/>
      </c>
      <c r="U341" s="13" t="str">
        <f aca="false">IF(A341="","",SUMIFS(Pagos!$H:$H,Pagos!$D:$D,A341,Pagos!$I:$I,"USD"))</f>
        <v/>
      </c>
    </row>
    <row r="342" customFormat="false" ht="15" hidden="false" customHeight="false" outlineLevel="0" collapsed="false">
      <c r="A342" s="6"/>
      <c r="B342" s="6"/>
      <c r="C342" s="6"/>
      <c r="D342" s="7"/>
      <c r="E342" s="7"/>
      <c r="F342" s="6"/>
      <c r="G342" s="7"/>
      <c r="H342" s="6"/>
      <c r="I342" s="6"/>
      <c r="J342" s="6"/>
      <c r="K342" s="9"/>
      <c r="L342" s="6"/>
      <c r="M342" s="6"/>
      <c r="N342" s="10"/>
      <c r="O342" s="6"/>
      <c r="P342" s="6"/>
      <c r="Q342" s="11" t="str">
        <f aca="false">IF(A342="","",TRIM(B342&amp;" "&amp;C342))</f>
        <v/>
      </c>
      <c r="R342" s="12" t="str">
        <f aca="false">IF(A342="","",SUMIFS(Sesiones!$F:$F,Sesiones!$C:$C,A342,Sesiones!$G:$G,"ARS")-SUMIFS(Pagos!$H:$H,Pagos!$D:$D,A342,Pagos!$I:$I,"ARS"))</f>
        <v/>
      </c>
      <c r="S342" s="13" t="str">
        <f aca="false">IF(A342="","",SUMIFS(Sesiones!$F:$F,Sesiones!$C:$C,A342,Sesiones!$G:$G,"USD")-SUMIFS(Pagos!$H:$H,Pagos!$D:$D,A342,Pagos!$I:$I,"USD"))</f>
        <v/>
      </c>
      <c r="T342" s="12" t="str">
        <f aca="false">IF(A342="","",SUMIFS(Pagos!$H:$H,Pagos!$D:$D,A342,Pagos!$I:$I,"ARS"))</f>
        <v/>
      </c>
      <c r="U342" s="13" t="str">
        <f aca="false">IF(A342="","",SUMIFS(Pagos!$H:$H,Pagos!$D:$D,A342,Pagos!$I:$I,"USD"))</f>
        <v/>
      </c>
    </row>
    <row r="343" customFormat="false" ht="15" hidden="false" customHeight="false" outlineLevel="0" collapsed="false">
      <c r="A343" s="6"/>
      <c r="B343" s="6"/>
      <c r="C343" s="6"/>
      <c r="D343" s="7"/>
      <c r="E343" s="7"/>
      <c r="F343" s="6"/>
      <c r="G343" s="7"/>
      <c r="H343" s="6"/>
      <c r="I343" s="6"/>
      <c r="J343" s="6"/>
      <c r="K343" s="9"/>
      <c r="L343" s="6"/>
      <c r="M343" s="6"/>
      <c r="N343" s="10"/>
      <c r="O343" s="6"/>
      <c r="P343" s="6"/>
      <c r="Q343" s="11" t="str">
        <f aca="false">IF(A343="","",TRIM(B343&amp;" "&amp;C343))</f>
        <v/>
      </c>
      <c r="R343" s="12" t="str">
        <f aca="false">IF(A343="","",SUMIFS(Sesiones!$F:$F,Sesiones!$C:$C,A343,Sesiones!$G:$G,"ARS")-SUMIFS(Pagos!$H:$H,Pagos!$D:$D,A343,Pagos!$I:$I,"ARS"))</f>
        <v/>
      </c>
      <c r="S343" s="13" t="str">
        <f aca="false">IF(A343="","",SUMIFS(Sesiones!$F:$F,Sesiones!$C:$C,A343,Sesiones!$G:$G,"USD")-SUMIFS(Pagos!$H:$H,Pagos!$D:$D,A343,Pagos!$I:$I,"USD"))</f>
        <v/>
      </c>
      <c r="T343" s="12" t="str">
        <f aca="false">IF(A343="","",SUMIFS(Pagos!$H:$H,Pagos!$D:$D,A343,Pagos!$I:$I,"ARS"))</f>
        <v/>
      </c>
      <c r="U343" s="13" t="str">
        <f aca="false">IF(A343="","",SUMIFS(Pagos!$H:$H,Pagos!$D:$D,A343,Pagos!$I:$I,"USD"))</f>
        <v/>
      </c>
    </row>
    <row r="344" customFormat="false" ht="15" hidden="false" customHeight="false" outlineLevel="0" collapsed="false">
      <c r="A344" s="6"/>
      <c r="B344" s="6"/>
      <c r="C344" s="6"/>
      <c r="D344" s="7"/>
      <c r="E344" s="7"/>
      <c r="F344" s="6"/>
      <c r="G344" s="7"/>
      <c r="H344" s="6"/>
      <c r="I344" s="6"/>
      <c r="J344" s="6"/>
      <c r="K344" s="9"/>
      <c r="L344" s="6"/>
      <c r="M344" s="6"/>
      <c r="N344" s="10"/>
      <c r="O344" s="6"/>
      <c r="P344" s="6"/>
      <c r="Q344" s="11" t="str">
        <f aca="false">IF(A344="","",TRIM(B344&amp;" "&amp;C344))</f>
        <v/>
      </c>
      <c r="R344" s="12" t="str">
        <f aca="false">IF(A344="","",SUMIFS(Sesiones!$F:$F,Sesiones!$C:$C,A344,Sesiones!$G:$G,"ARS")-SUMIFS(Pagos!$H:$H,Pagos!$D:$D,A344,Pagos!$I:$I,"ARS"))</f>
        <v/>
      </c>
      <c r="S344" s="13" t="str">
        <f aca="false">IF(A344="","",SUMIFS(Sesiones!$F:$F,Sesiones!$C:$C,A344,Sesiones!$G:$G,"USD")-SUMIFS(Pagos!$H:$H,Pagos!$D:$D,A344,Pagos!$I:$I,"USD"))</f>
        <v/>
      </c>
      <c r="T344" s="12" t="str">
        <f aca="false">IF(A344="","",SUMIFS(Pagos!$H:$H,Pagos!$D:$D,A344,Pagos!$I:$I,"ARS"))</f>
        <v/>
      </c>
      <c r="U344" s="13" t="str">
        <f aca="false">IF(A344="","",SUMIFS(Pagos!$H:$H,Pagos!$D:$D,A344,Pagos!$I:$I,"USD"))</f>
        <v/>
      </c>
    </row>
    <row r="345" customFormat="false" ht="15" hidden="false" customHeight="false" outlineLevel="0" collapsed="false">
      <c r="A345" s="6"/>
      <c r="B345" s="6"/>
      <c r="C345" s="6"/>
      <c r="D345" s="7"/>
      <c r="E345" s="7"/>
      <c r="F345" s="6"/>
      <c r="G345" s="7"/>
      <c r="H345" s="6"/>
      <c r="I345" s="6"/>
      <c r="J345" s="6"/>
      <c r="K345" s="9"/>
      <c r="L345" s="6"/>
      <c r="M345" s="6"/>
      <c r="N345" s="10"/>
      <c r="O345" s="6"/>
      <c r="P345" s="6"/>
      <c r="Q345" s="11" t="str">
        <f aca="false">IF(A345="","",TRIM(B345&amp;" "&amp;C345))</f>
        <v/>
      </c>
      <c r="R345" s="12" t="str">
        <f aca="false">IF(A345="","",SUMIFS(Sesiones!$F:$F,Sesiones!$C:$C,A345,Sesiones!$G:$G,"ARS")-SUMIFS(Pagos!$H:$H,Pagos!$D:$D,A345,Pagos!$I:$I,"ARS"))</f>
        <v/>
      </c>
      <c r="S345" s="13" t="str">
        <f aca="false">IF(A345="","",SUMIFS(Sesiones!$F:$F,Sesiones!$C:$C,A345,Sesiones!$G:$G,"USD")-SUMIFS(Pagos!$H:$H,Pagos!$D:$D,A345,Pagos!$I:$I,"USD"))</f>
        <v/>
      </c>
      <c r="T345" s="12" t="str">
        <f aca="false">IF(A345="","",SUMIFS(Pagos!$H:$H,Pagos!$D:$D,A345,Pagos!$I:$I,"ARS"))</f>
        <v/>
      </c>
      <c r="U345" s="13" t="str">
        <f aca="false">IF(A345="","",SUMIFS(Pagos!$H:$H,Pagos!$D:$D,A345,Pagos!$I:$I,"USD"))</f>
        <v/>
      </c>
    </row>
    <row r="346" customFormat="false" ht="15" hidden="false" customHeight="false" outlineLevel="0" collapsed="false">
      <c r="A346" s="6"/>
      <c r="B346" s="6"/>
      <c r="C346" s="6"/>
      <c r="D346" s="7"/>
      <c r="E346" s="7"/>
      <c r="F346" s="6"/>
      <c r="G346" s="7"/>
      <c r="H346" s="6"/>
      <c r="I346" s="6"/>
      <c r="J346" s="6"/>
      <c r="K346" s="9"/>
      <c r="L346" s="6"/>
      <c r="M346" s="6"/>
      <c r="N346" s="10"/>
      <c r="O346" s="6"/>
      <c r="P346" s="6"/>
      <c r="Q346" s="11" t="str">
        <f aca="false">IF(A346="","",TRIM(B346&amp;" "&amp;C346))</f>
        <v/>
      </c>
      <c r="R346" s="12" t="str">
        <f aca="false">IF(A346="","",SUMIFS(Sesiones!$F:$F,Sesiones!$C:$C,A346,Sesiones!$G:$G,"ARS")-SUMIFS(Pagos!$H:$H,Pagos!$D:$D,A346,Pagos!$I:$I,"ARS"))</f>
        <v/>
      </c>
      <c r="S346" s="13" t="str">
        <f aca="false">IF(A346="","",SUMIFS(Sesiones!$F:$F,Sesiones!$C:$C,A346,Sesiones!$G:$G,"USD")-SUMIFS(Pagos!$H:$H,Pagos!$D:$D,A346,Pagos!$I:$I,"USD"))</f>
        <v/>
      </c>
      <c r="T346" s="12" t="str">
        <f aca="false">IF(A346="","",SUMIFS(Pagos!$H:$H,Pagos!$D:$D,A346,Pagos!$I:$I,"ARS"))</f>
        <v/>
      </c>
      <c r="U346" s="13" t="str">
        <f aca="false">IF(A346="","",SUMIFS(Pagos!$H:$H,Pagos!$D:$D,A346,Pagos!$I:$I,"USD"))</f>
        <v/>
      </c>
    </row>
    <row r="347" customFormat="false" ht="15" hidden="false" customHeight="false" outlineLevel="0" collapsed="false">
      <c r="A347" s="6"/>
      <c r="B347" s="6"/>
      <c r="C347" s="6"/>
      <c r="D347" s="7"/>
      <c r="E347" s="7"/>
      <c r="F347" s="6"/>
      <c r="G347" s="7"/>
      <c r="H347" s="6"/>
      <c r="I347" s="6"/>
      <c r="J347" s="6"/>
      <c r="K347" s="9"/>
      <c r="L347" s="6"/>
      <c r="M347" s="6"/>
      <c r="N347" s="10"/>
      <c r="O347" s="6"/>
      <c r="P347" s="6"/>
      <c r="Q347" s="11" t="str">
        <f aca="false">IF(A347="","",TRIM(B347&amp;" "&amp;C347))</f>
        <v/>
      </c>
      <c r="R347" s="12" t="str">
        <f aca="false">IF(A347="","",SUMIFS(Sesiones!$F:$F,Sesiones!$C:$C,A347,Sesiones!$G:$G,"ARS")-SUMIFS(Pagos!$H:$H,Pagos!$D:$D,A347,Pagos!$I:$I,"ARS"))</f>
        <v/>
      </c>
      <c r="S347" s="13" t="str">
        <f aca="false">IF(A347="","",SUMIFS(Sesiones!$F:$F,Sesiones!$C:$C,A347,Sesiones!$G:$G,"USD")-SUMIFS(Pagos!$H:$H,Pagos!$D:$D,A347,Pagos!$I:$I,"USD"))</f>
        <v/>
      </c>
      <c r="T347" s="12" t="str">
        <f aca="false">IF(A347="","",SUMIFS(Pagos!$H:$H,Pagos!$D:$D,A347,Pagos!$I:$I,"ARS"))</f>
        <v/>
      </c>
      <c r="U347" s="13" t="str">
        <f aca="false">IF(A347="","",SUMIFS(Pagos!$H:$H,Pagos!$D:$D,A347,Pagos!$I:$I,"USD"))</f>
        <v/>
      </c>
    </row>
    <row r="348" customFormat="false" ht="15" hidden="false" customHeight="false" outlineLevel="0" collapsed="false">
      <c r="A348" s="6"/>
      <c r="B348" s="6"/>
      <c r="C348" s="6"/>
      <c r="D348" s="7"/>
      <c r="E348" s="7"/>
      <c r="F348" s="6"/>
      <c r="G348" s="7"/>
      <c r="H348" s="6"/>
      <c r="I348" s="6"/>
      <c r="J348" s="6"/>
      <c r="K348" s="9"/>
      <c r="L348" s="6"/>
      <c r="M348" s="6"/>
      <c r="N348" s="10"/>
      <c r="O348" s="6"/>
      <c r="P348" s="6"/>
      <c r="Q348" s="11" t="str">
        <f aca="false">IF(A348="","",TRIM(B348&amp;" "&amp;C348))</f>
        <v/>
      </c>
      <c r="R348" s="12" t="str">
        <f aca="false">IF(A348="","",SUMIFS(Sesiones!$F:$F,Sesiones!$C:$C,A348,Sesiones!$G:$G,"ARS")-SUMIFS(Pagos!$H:$H,Pagos!$D:$D,A348,Pagos!$I:$I,"ARS"))</f>
        <v/>
      </c>
      <c r="S348" s="13" t="str">
        <f aca="false">IF(A348="","",SUMIFS(Sesiones!$F:$F,Sesiones!$C:$C,A348,Sesiones!$G:$G,"USD")-SUMIFS(Pagos!$H:$H,Pagos!$D:$D,A348,Pagos!$I:$I,"USD"))</f>
        <v/>
      </c>
      <c r="T348" s="12" t="str">
        <f aca="false">IF(A348="","",SUMIFS(Pagos!$H:$H,Pagos!$D:$D,A348,Pagos!$I:$I,"ARS"))</f>
        <v/>
      </c>
      <c r="U348" s="13" t="str">
        <f aca="false">IF(A348="","",SUMIFS(Pagos!$H:$H,Pagos!$D:$D,A348,Pagos!$I:$I,"USD"))</f>
        <v/>
      </c>
    </row>
    <row r="349" customFormat="false" ht="15" hidden="false" customHeight="false" outlineLevel="0" collapsed="false">
      <c r="A349" s="6"/>
      <c r="B349" s="6"/>
      <c r="C349" s="6"/>
      <c r="D349" s="7"/>
      <c r="E349" s="7"/>
      <c r="F349" s="6"/>
      <c r="G349" s="7"/>
      <c r="H349" s="6"/>
      <c r="I349" s="6"/>
      <c r="J349" s="6"/>
      <c r="K349" s="9"/>
      <c r="L349" s="6"/>
      <c r="M349" s="6"/>
      <c r="N349" s="10"/>
      <c r="O349" s="6"/>
      <c r="P349" s="6"/>
      <c r="Q349" s="11" t="str">
        <f aca="false">IF(A349="","",TRIM(B349&amp;" "&amp;C349))</f>
        <v/>
      </c>
      <c r="R349" s="12" t="str">
        <f aca="false">IF(A349="","",SUMIFS(Sesiones!$F:$F,Sesiones!$C:$C,A349,Sesiones!$G:$G,"ARS")-SUMIFS(Pagos!$H:$H,Pagos!$D:$D,A349,Pagos!$I:$I,"ARS"))</f>
        <v/>
      </c>
      <c r="S349" s="13" t="str">
        <f aca="false">IF(A349="","",SUMIFS(Sesiones!$F:$F,Sesiones!$C:$C,A349,Sesiones!$G:$G,"USD")-SUMIFS(Pagos!$H:$H,Pagos!$D:$D,A349,Pagos!$I:$I,"USD"))</f>
        <v/>
      </c>
      <c r="T349" s="12" t="str">
        <f aca="false">IF(A349="","",SUMIFS(Pagos!$H:$H,Pagos!$D:$D,A349,Pagos!$I:$I,"ARS"))</f>
        <v/>
      </c>
      <c r="U349" s="13" t="str">
        <f aca="false">IF(A349="","",SUMIFS(Pagos!$H:$H,Pagos!$D:$D,A349,Pagos!$I:$I,"USD"))</f>
        <v/>
      </c>
    </row>
    <row r="350" customFormat="false" ht="15" hidden="false" customHeight="false" outlineLevel="0" collapsed="false">
      <c r="A350" s="6"/>
      <c r="B350" s="6"/>
      <c r="C350" s="6"/>
      <c r="D350" s="7"/>
      <c r="E350" s="7"/>
      <c r="F350" s="6"/>
      <c r="G350" s="7"/>
      <c r="H350" s="6"/>
      <c r="I350" s="6"/>
      <c r="J350" s="6"/>
      <c r="K350" s="9"/>
      <c r="L350" s="6"/>
      <c r="M350" s="6"/>
      <c r="N350" s="10"/>
      <c r="O350" s="6"/>
      <c r="P350" s="6"/>
      <c r="Q350" s="11" t="str">
        <f aca="false">IF(A350="","",TRIM(B350&amp;" "&amp;C350))</f>
        <v/>
      </c>
      <c r="R350" s="12" t="str">
        <f aca="false">IF(A350="","",SUMIFS(Sesiones!$F:$F,Sesiones!$C:$C,A350,Sesiones!$G:$G,"ARS")-SUMIFS(Pagos!$H:$H,Pagos!$D:$D,A350,Pagos!$I:$I,"ARS"))</f>
        <v/>
      </c>
      <c r="S350" s="13" t="str">
        <f aca="false">IF(A350="","",SUMIFS(Sesiones!$F:$F,Sesiones!$C:$C,A350,Sesiones!$G:$G,"USD")-SUMIFS(Pagos!$H:$H,Pagos!$D:$D,A350,Pagos!$I:$I,"USD"))</f>
        <v/>
      </c>
      <c r="T350" s="12" t="str">
        <f aca="false">IF(A350="","",SUMIFS(Pagos!$H:$H,Pagos!$D:$D,A350,Pagos!$I:$I,"ARS"))</f>
        <v/>
      </c>
      <c r="U350" s="13" t="str">
        <f aca="false">IF(A350="","",SUMIFS(Pagos!$H:$H,Pagos!$D:$D,A350,Pagos!$I:$I,"USD"))</f>
        <v/>
      </c>
    </row>
    <row r="351" customFormat="false" ht="15" hidden="false" customHeight="false" outlineLevel="0" collapsed="false">
      <c r="A351" s="6"/>
      <c r="B351" s="6"/>
      <c r="C351" s="6"/>
      <c r="D351" s="7"/>
      <c r="E351" s="7"/>
      <c r="F351" s="6"/>
      <c r="G351" s="7"/>
      <c r="H351" s="6"/>
      <c r="I351" s="6"/>
      <c r="J351" s="6"/>
      <c r="K351" s="9"/>
      <c r="L351" s="6"/>
      <c r="M351" s="6"/>
      <c r="N351" s="10"/>
      <c r="O351" s="6"/>
      <c r="P351" s="6"/>
      <c r="Q351" s="11" t="str">
        <f aca="false">IF(A351="","",TRIM(B351&amp;" "&amp;C351))</f>
        <v/>
      </c>
      <c r="R351" s="12" t="str">
        <f aca="false">IF(A351="","",SUMIFS(Sesiones!$F:$F,Sesiones!$C:$C,A351,Sesiones!$G:$G,"ARS")-SUMIFS(Pagos!$H:$H,Pagos!$D:$D,A351,Pagos!$I:$I,"ARS"))</f>
        <v/>
      </c>
      <c r="S351" s="13" t="str">
        <f aca="false">IF(A351="","",SUMIFS(Sesiones!$F:$F,Sesiones!$C:$C,A351,Sesiones!$G:$G,"USD")-SUMIFS(Pagos!$H:$H,Pagos!$D:$D,A351,Pagos!$I:$I,"USD"))</f>
        <v/>
      </c>
      <c r="T351" s="12" t="str">
        <f aca="false">IF(A351="","",SUMIFS(Pagos!$H:$H,Pagos!$D:$D,A351,Pagos!$I:$I,"ARS"))</f>
        <v/>
      </c>
      <c r="U351" s="13" t="str">
        <f aca="false">IF(A351="","",SUMIFS(Pagos!$H:$H,Pagos!$D:$D,A351,Pagos!$I:$I,"USD"))</f>
        <v/>
      </c>
    </row>
    <row r="352" customFormat="false" ht="15" hidden="false" customHeight="false" outlineLevel="0" collapsed="false">
      <c r="A352" s="6"/>
      <c r="B352" s="6"/>
      <c r="C352" s="6"/>
      <c r="D352" s="7"/>
      <c r="E352" s="7"/>
      <c r="F352" s="6"/>
      <c r="G352" s="7"/>
      <c r="H352" s="6"/>
      <c r="I352" s="6"/>
      <c r="J352" s="6"/>
      <c r="K352" s="9"/>
      <c r="L352" s="6"/>
      <c r="M352" s="6"/>
      <c r="N352" s="10"/>
      <c r="O352" s="6"/>
      <c r="P352" s="6"/>
      <c r="Q352" s="11" t="str">
        <f aca="false">IF(A352="","",TRIM(B352&amp;" "&amp;C352))</f>
        <v/>
      </c>
      <c r="R352" s="12" t="str">
        <f aca="false">IF(A352="","",SUMIFS(Sesiones!$F:$F,Sesiones!$C:$C,A352,Sesiones!$G:$G,"ARS")-SUMIFS(Pagos!$H:$H,Pagos!$D:$D,A352,Pagos!$I:$I,"ARS"))</f>
        <v/>
      </c>
      <c r="S352" s="13" t="str">
        <f aca="false">IF(A352="","",SUMIFS(Sesiones!$F:$F,Sesiones!$C:$C,A352,Sesiones!$G:$G,"USD")-SUMIFS(Pagos!$H:$H,Pagos!$D:$D,A352,Pagos!$I:$I,"USD"))</f>
        <v/>
      </c>
      <c r="T352" s="12" t="str">
        <f aca="false">IF(A352="","",SUMIFS(Pagos!$H:$H,Pagos!$D:$D,A352,Pagos!$I:$I,"ARS"))</f>
        <v/>
      </c>
      <c r="U352" s="13" t="str">
        <f aca="false">IF(A352="","",SUMIFS(Pagos!$H:$H,Pagos!$D:$D,A352,Pagos!$I:$I,"USD"))</f>
        <v/>
      </c>
    </row>
    <row r="353" customFormat="false" ht="15" hidden="false" customHeight="false" outlineLevel="0" collapsed="false">
      <c r="A353" s="6"/>
      <c r="B353" s="6"/>
      <c r="C353" s="6"/>
      <c r="D353" s="7"/>
      <c r="E353" s="7"/>
      <c r="F353" s="6"/>
      <c r="G353" s="7"/>
      <c r="H353" s="6"/>
      <c r="I353" s="6"/>
      <c r="J353" s="6"/>
      <c r="K353" s="9"/>
      <c r="L353" s="6"/>
      <c r="M353" s="6"/>
      <c r="N353" s="10"/>
      <c r="O353" s="6"/>
      <c r="P353" s="6"/>
      <c r="Q353" s="11" t="str">
        <f aca="false">IF(A353="","",TRIM(B353&amp;" "&amp;C353))</f>
        <v/>
      </c>
      <c r="R353" s="12" t="str">
        <f aca="false">IF(A353="","",SUMIFS(Sesiones!$F:$F,Sesiones!$C:$C,A353,Sesiones!$G:$G,"ARS")-SUMIFS(Pagos!$H:$H,Pagos!$D:$D,A353,Pagos!$I:$I,"ARS"))</f>
        <v/>
      </c>
      <c r="S353" s="13" t="str">
        <f aca="false">IF(A353="","",SUMIFS(Sesiones!$F:$F,Sesiones!$C:$C,A353,Sesiones!$G:$G,"USD")-SUMIFS(Pagos!$H:$H,Pagos!$D:$D,A353,Pagos!$I:$I,"USD"))</f>
        <v/>
      </c>
      <c r="T353" s="12" t="str">
        <f aca="false">IF(A353="","",SUMIFS(Pagos!$H:$H,Pagos!$D:$D,A353,Pagos!$I:$I,"ARS"))</f>
        <v/>
      </c>
      <c r="U353" s="13" t="str">
        <f aca="false">IF(A353="","",SUMIFS(Pagos!$H:$H,Pagos!$D:$D,A353,Pagos!$I:$I,"USD"))</f>
        <v/>
      </c>
    </row>
    <row r="354" customFormat="false" ht="15" hidden="false" customHeight="false" outlineLevel="0" collapsed="false">
      <c r="A354" s="6"/>
      <c r="B354" s="6"/>
      <c r="C354" s="6"/>
      <c r="D354" s="7"/>
      <c r="E354" s="7"/>
      <c r="F354" s="6"/>
      <c r="G354" s="7"/>
      <c r="H354" s="6"/>
      <c r="I354" s="6"/>
      <c r="J354" s="6"/>
      <c r="K354" s="9"/>
      <c r="L354" s="6"/>
      <c r="M354" s="6"/>
      <c r="N354" s="10"/>
      <c r="O354" s="6"/>
      <c r="P354" s="6"/>
      <c r="Q354" s="11" t="str">
        <f aca="false">IF(A354="","",TRIM(B354&amp;" "&amp;C354))</f>
        <v/>
      </c>
      <c r="R354" s="12" t="str">
        <f aca="false">IF(A354="","",SUMIFS(Sesiones!$F:$F,Sesiones!$C:$C,A354,Sesiones!$G:$G,"ARS")-SUMIFS(Pagos!$H:$H,Pagos!$D:$D,A354,Pagos!$I:$I,"ARS"))</f>
        <v/>
      </c>
      <c r="S354" s="13" t="str">
        <f aca="false">IF(A354="","",SUMIFS(Sesiones!$F:$F,Sesiones!$C:$C,A354,Sesiones!$G:$G,"USD")-SUMIFS(Pagos!$H:$H,Pagos!$D:$D,A354,Pagos!$I:$I,"USD"))</f>
        <v/>
      </c>
      <c r="T354" s="12" t="str">
        <f aca="false">IF(A354="","",SUMIFS(Pagos!$H:$H,Pagos!$D:$D,A354,Pagos!$I:$I,"ARS"))</f>
        <v/>
      </c>
      <c r="U354" s="13" t="str">
        <f aca="false">IF(A354="","",SUMIFS(Pagos!$H:$H,Pagos!$D:$D,A354,Pagos!$I:$I,"USD"))</f>
        <v/>
      </c>
    </row>
    <row r="355" customFormat="false" ht="15" hidden="false" customHeight="false" outlineLevel="0" collapsed="false">
      <c r="A355" s="6"/>
      <c r="B355" s="6"/>
      <c r="C355" s="6"/>
      <c r="D355" s="7"/>
      <c r="E355" s="7"/>
      <c r="F355" s="6"/>
      <c r="G355" s="7"/>
      <c r="H355" s="6"/>
      <c r="I355" s="6"/>
      <c r="J355" s="6"/>
      <c r="K355" s="9"/>
      <c r="L355" s="6"/>
      <c r="M355" s="6"/>
      <c r="N355" s="10"/>
      <c r="O355" s="6"/>
      <c r="P355" s="6"/>
      <c r="Q355" s="11" t="str">
        <f aca="false">IF(A355="","",TRIM(B355&amp;" "&amp;C355))</f>
        <v/>
      </c>
      <c r="R355" s="12" t="str">
        <f aca="false">IF(A355="","",SUMIFS(Sesiones!$F:$F,Sesiones!$C:$C,A355,Sesiones!$G:$G,"ARS")-SUMIFS(Pagos!$H:$H,Pagos!$D:$D,A355,Pagos!$I:$I,"ARS"))</f>
        <v/>
      </c>
      <c r="S355" s="13" t="str">
        <f aca="false">IF(A355="","",SUMIFS(Sesiones!$F:$F,Sesiones!$C:$C,A355,Sesiones!$G:$G,"USD")-SUMIFS(Pagos!$H:$H,Pagos!$D:$D,A355,Pagos!$I:$I,"USD"))</f>
        <v/>
      </c>
      <c r="T355" s="12" t="str">
        <f aca="false">IF(A355="","",SUMIFS(Pagos!$H:$H,Pagos!$D:$D,A355,Pagos!$I:$I,"ARS"))</f>
        <v/>
      </c>
      <c r="U355" s="13" t="str">
        <f aca="false">IF(A355="","",SUMIFS(Pagos!$H:$H,Pagos!$D:$D,A355,Pagos!$I:$I,"USD"))</f>
        <v/>
      </c>
    </row>
    <row r="356" customFormat="false" ht="15" hidden="false" customHeight="false" outlineLevel="0" collapsed="false">
      <c r="A356" s="6"/>
      <c r="B356" s="6"/>
      <c r="C356" s="6"/>
      <c r="D356" s="7"/>
      <c r="E356" s="7"/>
      <c r="F356" s="6"/>
      <c r="G356" s="7"/>
      <c r="H356" s="6"/>
      <c r="I356" s="6"/>
      <c r="J356" s="6"/>
      <c r="K356" s="9"/>
      <c r="L356" s="6"/>
      <c r="M356" s="6"/>
      <c r="N356" s="10"/>
      <c r="O356" s="6"/>
      <c r="P356" s="6"/>
      <c r="Q356" s="11" t="str">
        <f aca="false">IF(A356="","",TRIM(B356&amp;" "&amp;C356))</f>
        <v/>
      </c>
      <c r="R356" s="12" t="str">
        <f aca="false">IF(A356="","",SUMIFS(Sesiones!$F:$F,Sesiones!$C:$C,A356,Sesiones!$G:$G,"ARS")-SUMIFS(Pagos!$H:$H,Pagos!$D:$D,A356,Pagos!$I:$I,"ARS"))</f>
        <v/>
      </c>
      <c r="S356" s="13" t="str">
        <f aca="false">IF(A356="","",SUMIFS(Sesiones!$F:$F,Sesiones!$C:$C,A356,Sesiones!$G:$G,"USD")-SUMIFS(Pagos!$H:$H,Pagos!$D:$D,A356,Pagos!$I:$I,"USD"))</f>
        <v/>
      </c>
      <c r="T356" s="12" t="str">
        <f aca="false">IF(A356="","",SUMIFS(Pagos!$H:$H,Pagos!$D:$D,A356,Pagos!$I:$I,"ARS"))</f>
        <v/>
      </c>
      <c r="U356" s="13" t="str">
        <f aca="false">IF(A356="","",SUMIFS(Pagos!$H:$H,Pagos!$D:$D,A356,Pagos!$I:$I,"USD"))</f>
        <v/>
      </c>
    </row>
    <row r="357" customFormat="false" ht="15" hidden="false" customHeight="false" outlineLevel="0" collapsed="false">
      <c r="A357" s="6"/>
      <c r="B357" s="6"/>
      <c r="C357" s="6"/>
      <c r="D357" s="7"/>
      <c r="E357" s="7"/>
      <c r="F357" s="6"/>
      <c r="G357" s="7"/>
      <c r="H357" s="6"/>
      <c r="I357" s="6"/>
      <c r="J357" s="6"/>
      <c r="K357" s="9"/>
      <c r="L357" s="6"/>
      <c r="M357" s="6"/>
      <c r="N357" s="10"/>
      <c r="O357" s="6"/>
      <c r="P357" s="6"/>
      <c r="Q357" s="11" t="str">
        <f aca="false">IF(A357="","",TRIM(B357&amp;" "&amp;C357))</f>
        <v/>
      </c>
      <c r="R357" s="12" t="str">
        <f aca="false">IF(A357="","",SUMIFS(Sesiones!$F:$F,Sesiones!$C:$C,A357,Sesiones!$G:$G,"ARS")-SUMIFS(Pagos!$H:$H,Pagos!$D:$D,A357,Pagos!$I:$I,"ARS"))</f>
        <v/>
      </c>
      <c r="S357" s="13" t="str">
        <f aca="false">IF(A357="","",SUMIFS(Sesiones!$F:$F,Sesiones!$C:$C,A357,Sesiones!$G:$G,"USD")-SUMIFS(Pagos!$H:$H,Pagos!$D:$D,A357,Pagos!$I:$I,"USD"))</f>
        <v/>
      </c>
      <c r="T357" s="12" t="str">
        <f aca="false">IF(A357="","",SUMIFS(Pagos!$H:$H,Pagos!$D:$D,A357,Pagos!$I:$I,"ARS"))</f>
        <v/>
      </c>
      <c r="U357" s="13" t="str">
        <f aca="false">IF(A357="","",SUMIFS(Pagos!$H:$H,Pagos!$D:$D,A357,Pagos!$I:$I,"USD"))</f>
        <v/>
      </c>
    </row>
    <row r="358" customFormat="false" ht="15" hidden="false" customHeight="false" outlineLevel="0" collapsed="false">
      <c r="A358" s="6"/>
      <c r="B358" s="6"/>
      <c r="C358" s="6"/>
      <c r="D358" s="7"/>
      <c r="E358" s="7"/>
      <c r="F358" s="6"/>
      <c r="G358" s="7"/>
      <c r="H358" s="6"/>
      <c r="I358" s="6"/>
      <c r="J358" s="6"/>
      <c r="K358" s="9"/>
      <c r="L358" s="6"/>
      <c r="M358" s="6"/>
      <c r="N358" s="10"/>
      <c r="O358" s="6"/>
      <c r="P358" s="6"/>
      <c r="Q358" s="11" t="str">
        <f aca="false">IF(A358="","",TRIM(B358&amp;" "&amp;C358))</f>
        <v/>
      </c>
      <c r="R358" s="12" t="str">
        <f aca="false">IF(A358="","",SUMIFS(Sesiones!$F:$F,Sesiones!$C:$C,A358,Sesiones!$G:$G,"ARS")-SUMIFS(Pagos!$H:$H,Pagos!$D:$D,A358,Pagos!$I:$I,"ARS"))</f>
        <v/>
      </c>
      <c r="S358" s="13" t="str">
        <f aca="false">IF(A358="","",SUMIFS(Sesiones!$F:$F,Sesiones!$C:$C,A358,Sesiones!$G:$G,"USD")-SUMIFS(Pagos!$H:$H,Pagos!$D:$D,A358,Pagos!$I:$I,"USD"))</f>
        <v/>
      </c>
      <c r="T358" s="12" t="str">
        <f aca="false">IF(A358="","",SUMIFS(Pagos!$H:$H,Pagos!$D:$D,A358,Pagos!$I:$I,"ARS"))</f>
        <v/>
      </c>
      <c r="U358" s="13" t="str">
        <f aca="false">IF(A358="","",SUMIFS(Pagos!$H:$H,Pagos!$D:$D,A358,Pagos!$I:$I,"USD"))</f>
        <v/>
      </c>
    </row>
    <row r="359" customFormat="false" ht="15" hidden="false" customHeight="false" outlineLevel="0" collapsed="false">
      <c r="A359" s="6"/>
      <c r="B359" s="6"/>
      <c r="C359" s="6"/>
      <c r="D359" s="7"/>
      <c r="E359" s="7"/>
      <c r="F359" s="6"/>
      <c r="G359" s="7"/>
      <c r="H359" s="6"/>
      <c r="I359" s="6"/>
      <c r="J359" s="6"/>
      <c r="K359" s="9"/>
      <c r="L359" s="6"/>
      <c r="M359" s="6"/>
      <c r="N359" s="10"/>
      <c r="O359" s="6"/>
      <c r="P359" s="6"/>
      <c r="Q359" s="11" t="str">
        <f aca="false">IF(A359="","",TRIM(B359&amp;" "&amp;C359))</f>
        <v/>
      </c>
      <c r="R359" s="12" t="str">
        <f aca="false">IF(A359="","",SUMIFS(Sesiones!$F:$F,Sesiones!$C:$C,A359,Sesiones!$G:$G,"ARS")-SUMIFS(Pagos!$H:$H,Pagos!$D:$D,A359,Pagos!$I:$I,"ARS"))</f>
        <v/>
      </c>
      <c r="S359" s="13" t="str">
        <f aca="false">IF(A359="","",SUMIFS(Sesiones!$F:$F,Sesiones!$C:$C,A359,Sesiones!$G:$G,"USD")-SUMIFS(Pagos!$H:$H,Pagos!$D:$D,A359,Pagos!$I:$I,"USD"))</f>
        <v/>
      </c>
      <c r="T359" s="12" t="str">
        <f aca="false">IF(A359="","",SUMIFS(Pagos!$H:$H,Pagos!$D:$D,A359,Pagos!$I:$I,"ARS"))</f>
        <v/>
      </c>
      <c r="U359" s="13" t="str">
        <f aca="false">IF(A359="","",SUMIFS(Pagos!$H:$H,Pagos!$D:$D,A359,Pagos!$I:$I,"USD"))</f>
        <v/>
      </c>
    </row>
    <row r="360" customFormat="false" ht="15" hidden="false" customHeight="false" outlineLevel="0" collapsed="false">
      <c r="A360" s="6"/>
      <c r="B360" s="6"/>
      <c r="C360" s="6"/>
      <c r="D360" s="7"/>
      <c r="E360" s="7"/>
      <c r="F360" s="6"/>
      <c r="G360" s="7"/>
      <c r="H360" s="6"/>
      <c r="I360" s="6"/>
      <c r="J360" s="6"/>
      <c r="K360" s="9"/>
      <c r="L360" s="6"/>
      <c r="M360" s="6"/>
      <c r="N360" s="10"/>
      <c r="O360" s="6"/>
      <c r="P360" s="6"/>
      <c r="Q360" s="11" t="str">
        <f aca="false">IF(A360="","",TRIM(B360&amp;" "&amp;C360))</f>
        <v/>
      </c>
      <c r="R360" s="12" t="str">
        <f aca="false">IF(A360="","",SUMIFS(Sesiones!$F:$F,Sesiones!$C:$C,A360,Sesiones!$G:$G,"ARS")-SUMIFS(Pagos!$H:$H,Pagos!$D:$D,A360,Pagos!$I:$I,"ARS"))</f>
        <v/>
      </c>
      <c r="S360" s="13" t="str">
        <f aca="false">IF(A360="","",SUMIFS(Sesiones!$F:$F,Sesiones!$C:$C,A360,Sesiones!$G:$G,"USD")-SUMIFS(Pagos!$H:$H,Pagos!$D:$D,A360,Pagos!$I:$I,"USD"))</f>
        <v/>
      </c>
      <c r="T360" s="12" t="str">
        <f aca="false">IF(A360="","",SUMIFS(Pagos!$H:$H,Pagos!$D:$D,A360,Pagos!$I:$I,"ARS"))</f>
        <v/>
      </c>
      <c r="U360" s="13" t="str">
        <f aca="false">IF(A360="","",SUMIFS(Pagos!$H:$H,Pagos!$D:$D,A360,Pagos!$I:$I,"USD"))</f>
        <v/>
      </c>
    </row>
    <row r="361" customFormat="false" ht="15" hidden="false" customHeight="false" outlineLevel="0" collapsed="false">
      <c r="A361" s="6"/>
      <c r="B361" s="6"/>
      <c r="C361" s="6"/>
      <c r="D361" s="7"/>
      <c r="E361" s="7"/>
      <c r="F361" s="6"/>
      <c r="G361" s="7"/>
      <c r="H361" s="6"/>
      <c r="I361" s="6"/>
      <c r="J361" s="6"/>
      <c r="K361" s="9"/>
      <c r="L361" s="6"/>
      <c r="M361" s="6"/>
      <c r="N361" s="10"/>
      <c r="O361" s="6"/>
      <c r="P361" s="6"/>
      <c r="Q361" s="11" t="str">
        <f aca="false">IF(A361="","",TRIM(B361&amp;" "&amp;C361))</f>
        <v/>
      </c>
      <c r="R361" s="12" t="str">
        <f aca="false">IF(A361="","",SUMIFS(Sesiones!$F:$F,Sesiones!$C:$C,A361,Sesiones!$G:$G,"ARS")-SUMIFS(Pagos!$H:$H,Pagos!$D:$D,A361,Pagos!$I:$I,"ARS"))</f>
        <v/>
      </c>
      <c r="S361" s="13" t="str">
        <f aca="false">IF(A361="","",SUMIFS(Sesiones!$F:$F,Sesiones!$C:$C,A361,Sesiones!$G:$G,"USD")-SUMIFS(Pagos!$H:$H,Pagos!$D:$D,A361,Pagos!$I:$I,"USD"))</f>
        <v/>
      </c>
      <c r="T361" s="12" t="str">
        <f aca="false">IF(A361="","",SUMIFS(Pagos!$H:$H,Pagos!$D:$D,A361,Pagos!$I:$I,"ARS"))</f>
        <v/>
      </c>
      <c r="U361" s="13" t="str">
        <f aca="false">IF(A361="","",SUMIFS(Pagos!$H:$H,Pagos!$D:$D,A361,Pagos!$I:$I,"USD"))</f>
        <v/>
      </c>
    </row>
    <row r="362" customFormat="false" ht="15" hidden="false" customHeight="false" outlineLevel="0" collapsed="false">
      <c r="A362" s="6"/>
      <c r="B362" s="6"/>
      <c r="C362" s="6"/>
      <c r="D362" s="7"/>
      <c r="E362" s="7"/>
      <c r="F362" s="6"/>
      <c r="G362" s="7"/>
      <c r="H362" s="6"/>
      <c r="I362" s="6"/>
      <c r="J362" s="6"/>
      <c r="K362" s="9"/>
      <c r="L362" s="6"/>
      <c r="M362" s="6"/>
      <c r="N362" s="10"/>
      <c r="O362" s="6"/>
      <c r="P362" s="6"/>
      <c r="Q362" s="11" t="str">
        <f aca="false">IF(A362="","",TRIM(B362&amp;" "&amp;C362))</f>
        <v/>
      </c>
      <c r="R362" s="12" t="str">
        <f aca="false">IF(A362="","",SUMIFS(Sesiones!$F:$F,Sesiones!$C:$C,A362,Sesiones!$G:$G,"ARS")-SUMIFS(Pagos!$H:$H,Pagos!$D:$D,A362,Pagos!$I:$I,"ARS"))</f>
        <v/>
      </c>
      <c r="S362" s="13" t="str">
        <f aca="false">IF(A362="","",SUMIFS(Sesiones!$F:$F,Sesiones!$C:$C,A362,Sesiones!$G:$G,"USD")-SUMIFS(Pagos!$H:$H,Pagos!$D:$D,A362,Pagos!$I:$I,"USD"))</f>
        <v/>
      </c>
      <c r="T362" s="12" t="str">
        <f aca="false">IF(A362="","",SUMIFS(Pagos!$H:$H,Pagos!$D:$D,A362,Pagos!$I:$I,"ARS"))</f>
        <v/>
      </c>
      <c r="U362" s="13" t="str">
        <f aca="false">IF(A362="","",SUMIFS(Pagos!$H:$H,Pagos!$D:$D,A362,Pagos!$I:$I,"USD"))</f>
        <v/>
      </c>
    </row>
    <row r="363" customFormat="false" ht="15" hidden="false" customHeight="false" outlineLevel="0" collapsed="false">
      <c r="A363" s="6"/>
      <c r="B363" s="6"/>
      <c r="C363" s="6"/>
      <c r="D363" s="7"/>
      <c r="E363" s="7"/>
      <c r="F363" s="6"/>
      <c r="G363" s="7"/>
      <c r="H363" s="6"/>
      <c r="I363" s="6"/>
      <c r="J363" s="6"/>
      <c r="K363" s="9"/>
      <c r="L363" s="6"/>
      <c r="M363" s="6"/>
      <c r="N363" s="10"/>
      <c r="O363" s="6"/>
      <c r="P363" s="6"/>
      <c r="Q363" s="11" t="str">
        <f aca="false">IF(A363="","",TRIM(B363&amp;" "&amp;C363))</f>
        <v/>
      </c>
      <c r="R363" s="12" t="str">
        <f aca="false">IF(A363="","",SUMIFS(Sesiones!$F:$F,Sesiones!$C:$C,A363,Sesiones!$G:$G,"ARS")-SUMIFS(Pagos!$H:$H,Pagos!$D:$D,A363,Pagos!$I:$I,"ARS"))</f>
        <v/>
      </c>
      <c r="S363" s="13" t="str">
        <f aca="false">IF(A363="","",SUMIFS(Sesiones!$F:$F,Sesiones!$C:$C,A363,Sesiones!$G:$G,"USD")-SUMIFS(Pagos!$H:$H,Pagos!$D:$D,A363,Pagos!$I:$I,"USD"))</f>
        <v/>
      </c>
      <c r="T363" s="12" t="str">
        <f aca="false">IF(A363="","",SUMIFS(Pagos!$H:$H,Pagos!$D:$D,A363,Pagos!$I:$I,"ARS"))</f>
        <v/>
      </c>
      <c r="U363" s="13" t="str">
        <f aca="false">IF(A363="","",SUMIFS(Pagos!$H:$H,Pagos!$D:$D,A363,Pagos!$I:$I,"USD"))</f>
        <v/>
      </c>
    </row>
    <row r="364" customFormat="false" ht="15" hidden="false" customHeight="false" outlineLevel="0" collapsed="false">
      <c r="A364" s="6"/>
      <c r="B364" s="6"/>
      <c r="C364" s="6"/>
      <c r="D364" s="7"/>
      <c r="E364" s="7"/>
      <c r="F364" s="6"/>
      <c r="G364" s="7"/>
      <c r="H364" s="6"/>
      <c r="I364" s="6"/>
      <c r="J364" s="6"/>
      <c r="K364" s="9"/>
      <c r="L364" s="6"/>
      <c r="M364" s="6"/>
      <c r="N364" s="10"/>
      <c r="O364" s="6"/>
      <c r="P364" s="6"/>
      <c r="Q364" s="11" t="str">
        <f aca="false">IF(A364="","",TRIM(B364&amp;" "&amp;C364))</f>
        <v/>
      </c>
      <c r="R364" s="12" t="str">
        <f aca="false">IF(A364="","",SUMIFS(Sesiones!$F:$F,Sesiones!$C:$C,A364,Sesiones!$G:$G,"ARS")-SUMIFS(Pagos!$H:$H,Pagos!$D:$D,A364,Pagos!$I:$I,"ARS"))</f>
        <v/>
      </c>
      <c r="S364" s="13" t="str">
        <f aca="false">IF(A364="","",SUMIFS(Sesiones!$F:$F,Sesiones!$C:$C,A364,Sesiones!$G:$G,"USD")-SUMIFS(Pagos!$H:$H,Pagos!$D:$D,A364,Pagos!$I:$I,"USD"))</f>
        <v/>
      </c>
      <c r="T364" s="12" t="str">
        <f aca="false">IF(A364="","",SUMIFS(Pagos!$H:$H,Pagos!$D:$D,A364,Pagos!$I:$I,"ARS"))</f>
        <v/>
      </c>
      <c r="U364" s="13" t="str">
        <f aca="false">IF(A364="","",SUMIFS(Pagos!$H:$H,Pagos!$D:$D,A364,Pagos!$I:$I,"USD"))</f>
        <v/>
      </c>
    </row>
    <row r="365" customFormat="false" ht="15" hidden="false" customHeight="false" outlineLevel="0" collapsed="false">
      <c r="A365" s="6"/>
      <c r="B365" s="6"/>
      <c r="C365" s="6"/>
      <c r="D365" s="7"/>
      <c r="E365" s="7"/>
      <c r="F365" s="6"/>
      <c r="G365" s="7"/>
      <c r="H365" s="6"/>
      <c r="I365" s="6"/>
      <c r="J365" s="6"/>
      <c r="K365" s="9"/>
      <c r="L365" s="6"/>
      <c r="M365" s="6"/>
      <c r="N365" s="10"/>
      <c r="O365" s="6"/>
      <c r="P365" s="6"/>
      <c r="Q365" s="11" t="str">
        <f aca="false">IF(A365="","",TRIM(B365&amp;" "&amp;C365))</f>
        <v/>
      </c>
      <c r="R365" s="12" t="str">
        <f aca="false">IF(A365="","",SUMIFS(Sesiones!$F:$F,Sesiones!$C:$C,A365,Sesiones!$G:$G,"ARS")-SUMIFS(Pagos!$H:$H,Pagos!$D:$D,A365,Pagos!$I:$I,"ARS"))</f>
        <v/>
      </c>
      <c r="S365" s="13" t="str">
        <f aca="false">IF(A365="","",SUMIFS(Sesiones!$F:$F,Sesiones!$C:$C,A365,Sesiones!$G:$G,"USD")-SUMIFS(Pagos!$H:$H,Pagos!$D:$D,A365,Pagos!$I:$I,"USD"))</f>
        <v/>
      </c>
      <c r="T365" s="12" t="str">
        <f aca="false">IF(A365="","",SUMIFS(Pagos!$H:$H,Pagos!$D:$D,A365,Pagos!$I:$I,"ARS"))</f>
        <v/>
      </c>
      <c r="U365" s="13" t="str">
        <f aca="false">IF(A365="","",SUMIFS(Pagos!$H:$H,Pagos!$D:$D,A365,Pagos!$I:$I,"USD"))</f>
        <v/>
      </c>
    </row>
    <row r="366" customFormat="false" ht="15" hidden="false" customHeight="false" outlineLevel="0" collapsed="false">
      <c r="A366" s="6"/>
      <c r="B366" s="6"/>
      <c r="C366" s="6"/>
      <c r="D366" s="7"/>
      <c r="E366" s="7"/>
      <c r="F366" s="6"/>
      <c r="G366" s="7"/>
      <c r="H366" s="6"/>
      <c r="I366" s="6"/>
      <c r="J366" s="6"/>
      <c r="K366" s="9"/>
      <c r="L366" s="6"/>
      <c r="M366" s="6"/>
      <c r="N366" s="10"/>
      <c r="O366" s="6"/>
      <c r="P366" s="6"/>
      <c r="Q366" s="11" t="str">
        <f aca="false">IF(A366="","",TRIM(B366&amp;" "&amp;C366))</f>
        <v/>
      </c>
      <c r="R366" s="12" t="str">
        <f aca="false">IF(A366="","",SUMIFS(Sesiones!$F:$F,Sesiones!$C:$C,A366,Sesiones!$G:$G,"ARS")-SUMIFS(Pagos!$H:$H,Pagos!$D:$D,A366,Pagos!$I:$I,"ARS"))</f>
        <v/>
      </c>
      <c r="S366" s="13" t="str">
        <f aca="false">IF(A366="","",SUMIFS(Sesiones!$F:$F,Sesiones!$C:$C,A366,Sesiones!$G:$G,"USD")-SUMIFS(Pagos!$H:$H,Pagos!$D:$D,A366,Pagos!$I:$I,"USD"))</f>
        <v/>
      </c>
      <c r="T366" s="12" t="str">
        <f aca="false">IF(A366="","",SUMIFS(Pagos!$H:$H,Pagos!$D:$D,A366,Pagos!$I:$I,"ARS"))</f>
        <v/>
      </c>
      <c r="U366" s="13" t="str">
        <f aca="false">IF(A366="","",SUMIFS(Pagos!$H:$H,Pagos!$D:$D,A366,Pagos!$I:$I,"USD"))</f>
        <v/>
      </c>
    </row>
    <row r="367" customFormat="false" ht="15" hidden="false" customHeight="false" outlineLevel="0" collapsed="false">
      <c r="A367" s="6"/>
      <c r="B367" s="6"/>
      <c r="C367" s="6"/>
      <c r="D367" s="7"/>
      <c r="E367" s="7"/>
      <c r="F367" s="6"/>
      <c r="G367" s="7"/>
      <c r="H367" s="6"/>
      <c r="I367" s="6"/>
      <c r="J367" s="6"/>
      <c r="K367" s="9"/>
      <c r="L367" s="6"/>
      <c r="M367" s="6"/>
      <c r="N367" s="10"/>
      <c r="O367" s="6"/>
      <c r="P367" s="6"/>
      <c r="Q367" s="11" t="str">
        <f aca="false">IF(A367="","",TRIM(B367&amp;" "&amp;C367))</f>
        <v/>
      </c>
      <c r="R367" s="12" t="str">
        <f aca="false">IF(A367="","",SUMIFS(Sesiones!$F:$F,Sesiones!$C:$C,A367,Sesiones!$G:$G,"ARS")-SUMIFS(Pagos!$H:$H,Pagos!$D:$D,A367,Pagos!$I:$I,"ARS"))</f>
        <v/>
      </c>
      <c r="S367" s="13" t="str">
        <f aca="false">IF(A367="","",SUMIFS(Sesiones!$F:$F,Sesiones!$C:$C,A367,Sesiones!$G:$G,"USD")-SUMIFS(Pagos!$H:$H,Pagos!$D:$D,A367,Pagos!$I:$I,"USD"))</f>
        <v/>
      </c>
      <c r="T367" s="12" t="str">
        <f aca="false">IF(A367="","",SUMIFS(Pagos!$H:$H,Pagos!$D:$D,A367,Pagos!$I:$I,"ARS"))</f>
        <v/>
      </c>
      <c r="U367" s="13" t="str">
        <f aca="false">IF(A367="","",SUMIFS(Pagos!$H:$H,Pagos!$D:$D,A367,Pagos!$I:$I,"USD"))</f>
        <v/>
      </c>
    </row>
    <row r="368" customFormat="false" ht="15" hidden="false" customHeight="false" outlineLevel="0" collapsed="false">
      <c r="A368" s="6"/>
      <c r="B368" s="6"/>
      <c r="C368" s="6"/>
      <c r="D368" s="7"/>
      <c r="E368" s="7"/>
      <c r="F368" s="6"/>
      <c r="G368" s="7"/>
      <c r="H368" s="6"/>
      <c r="I368" s="6"/>
      <c r="J368" s="6"/>
      <c r="K368" s="9"/>
      <c r="L368" s="6"/>
      <c r="M368" s="6"/>
      <c r="N368" s="10"/>
      <c r="O368" s="6"/>
      <c r="P368" s="6"/>
      <c r="Q368" s="11" t="str">
        <f aca="false">IF(A368="","",TRIM(B368&amp;" "&amp;C368))</f>
        <v/>
      </c>
      <c r="R368" s="12" t="str">
        <f aca="false">IF(A368="","",SUMIFS(Sesiones!$F:$F,Sesiones!$C:$C,A368,Sesiones!$G:$G,"ARS")-SUMIFS(Pagos!$H:$H,Pagos!$D:$D,A368,Pagos!$I:$I,"ARS"))</f>
        <v/>
      </c>
      <c r="S368" s="13" t="str">
        <f aca="false">IF(A368="","",SUMIFS(Sesiones!$F:$F,Sesiones!$C:$C,A368,Sesiones!$G:$G,"USD")-SUMIFS(Pagos!$H:$H,Pagos!$D:$D,A368,Pagos!$I:$I,"USD"))</f>
        <v/>
      </c>
      <c r="T368" s="12" t="str">
        <f aca="false">IF(A368="","",SUMIFS(Pagos!$H:$H,Pagos!$D:$D,A368,Pagos!$I:$I,"ARS"))</f>
        <v/>
      </c>
      <c r="U368" s="13" t="str">
        <f aca="false">IF(A368="","",SUMIFS(Pagos!$H:$H,Pagos!$D:$D,A368,Pagos!$I:$I,"USD"))</f>
        <v/>
      </c>
    </row>
    <row r="369" customFormat="false" ht="15" hidden="false" customHeight="false" outlineLevel="0" collapsed="false">
      <c r="A369" s="6"/>
      <c r="B369" s="6"/>
      <c r="C369" s="6"/>
      <c r="D369" s="7"/>
      <c r="E369" s="7"/>
      <c r="F369" s="6"/>
      <c r="G369" s="7"/>
      <c r="H369" s="6"/>
      <c r="I369" s="6"/>
      <c r="J369" s="6"/>
      <c r="K369" s="9"/>
      <c r="L369" s="6"/>
      <c r="M369" s="6"/>
      <c r="N369" s="10"/>
      <c r="O369" s="6"/>
      <c r="P369" s="6"/>
      <c r="Q369" s="11" t="str">
        <f aca="false">IF(A369="","",TRIM(B369&amp;" "&amp;C369))</f>
        <v/>
      </c>
      <c r="R369" s="12" t="str">
        <f aca="false">IF(A369="","",SUMIFS(Sesiones!$F:$F,Sesiones!$C:$C,A369,Sesiones!$G:$G,"ARS")-SUMIFS(Pagos!$H:$H,Pagos!$D:$D,A369,Pagos!$I:$I,"ARS"))</f>
        <v/>
      </c>
      <c r="S369" s="13" t="str">
        <f aca="false">IF(A369="","",SUMIFS(Sesiones!$F:$F,Sesiones!$C:$C,A369,Sesiones!$G:$G,"USD")-SUMIFS(Pagos!$H:$H,Pagos!$D:$D,A369,Pagos!$I:$I,"USD"))</f>
        <v/>
      </c>
      <c r="T369" s="12" t="str">
        <f aca="false">IF(A369="","",SUMIFS(Pagos!$H:$H,Pagos!$D:$D,A369,Pagos!$I:$I,"ARS"))</f>
        <v/>
      </c>
      <c r="U369" s="13" t="str">
        <f aca="false">IF(A369="","",SUMIFS(Pagos!$H:$H,Pagos!$D:$D,A369,Pagos!$I:$I,"USD"))</f>
        <v/>
      </c>
    </row>
    <row r="370" customFormat="false" ht="15" hidden="false" customHeight="false" outlineLevel="0" collapsed="false">
      <c r="A370" s="6"/>
      <c r="B370" s="6"/>
      <c r="C370" s="6"/>
      <c r="D370" s="7"/>
      <c r="E370" s="7"/>
      <c r="F370" s="6"/>
      <c r="G370" s="7"/>
      <c r="H370" s="6"/>
      <c r="I370" s="6"/>
      <c r="J370" s="6"/>
      <c r="K370" s="9"/>
      <c r="L370" s="6"/>
      <c r="M370" s="6"/>
      <c r="N370" s="10"/>
      <c r="O370" s="6"/>
      <c r="P370" s="6"/>
      <c r="Q370" s="11" t="str">
        <f aca="false">IF(A370="","",TRIM(B370&amp;" "&amp;C370))</f>
        <v/>
      </c>
      <c r="R370" s="12" t="str">
        <f aca="false">IF(A370="","",SUMIFS(Sesiones!$F:$F,Sesiones!$C:$C,A370,Sesiones!$G:$G,"ARS")-SUMIFS(Pagos!$H:$H,Pagos!$D:$D,A370,Pagos!$I:$I,"ARS"))</f>
        <v/>
      </c>
      <c r="S370" s="13" t="str">
        <f aca="false">IF(A370="","",SUMIFS(Sesiones!$F:$F,Sesiones!$C:$C,A370,Sesiones!$G:$G,"USD")-SUMIFS(Pagos!$H:$H,Pagos!$D:$D,A370,Pagos!$I:$I,"USD"))</f>
        <v/>
      </c>
      <c r="T370" s="12" t="str">
        <f aca="false">IF(A370="","",SUMIFS(Pagos!$H:$H,Pagos!$D:$D,A370,Pagos!$I:$I,"ARS"))</f>
        <v/>
      </c>
      <c r="U370" s="13" t="str">
        <f aca="false">IF(A370="","",SUMIFS(Pagos!$H:$H,Pagos!$D:$D,A370,Pagos!$I:$I,"USD"))</f>
        <v/>
      </c>
    </row>
    <row r="371" customFormat="false" ht="15" hidden="false" customHeight="false" outlineLevel="0" collapsed="false">
      <c r="A371" s="6"/>
      <c r="B371" s="6"/>
      <c r="C371" s="6"/>
      <c r="D371" s="7"/>
      <c r="E371" s="7"/>
      <c r="F371" s="6"/>
      <c r="G371" s="7"/>
      <c r="H371" s="6"/>
      <c r="I371" s="6"/>
      <c r="J371" s="6"/>
      <c r="K371" s="9"/>
      <c r="L371" s="6"/>
      <c r="M371" s="6"/>
      <c r="N371" s="10"/>
      <c r="O371" s="6"/>
      <c r="P371" s="6"/>
      <c r="Q371" s="11" t="str">
        <f aca="false">IF(A371="","",TRIM(B371&amp;" "&amp;C371))</f>
        <v/>
      </c>
      <c r="R371" s="12" t="str">
        <f aca="false">IF(A371="","",SUMIFS(Sesiones!$F:$F,Sesiones!$C:$C,A371,Sesiones!$G:$G,"ARS")-SUMIFS(Pagos!$H:$H,Pagos!$D:$D,A371,Pagos!$I:$I,"ARS"))</f>
        <v/>
      </c>
      <c r="S371" s="13" t="str">
        <f aca="false">IF(A371="","",SUMIFS(Sesiones!$F:$F,Sesiones!$C:$C,A371,Sesiones!$G:$G,"USD")-SUMIFS(Pagos!$H:$H,Pagos!$D:$D,A371,Pagos!$I:$I,"USD"))</f>
        <v/>
      </c>
      <c r="T371" s="12" t="str">
        <f aca="false">IF(A371="","",SUMIFS(Pagos!$H:$H,Pagos!$D:$D,A371,Pagos!$I:$I,"ARS"))</f>
        <v/>
      </c>
      <c r="U371" s="13" t="str">
        <f aca="false">IF(A371="","",SUMIFS(Pagos!$H:$H,Pagos!$D:$D,A371,Pagos!$I:$I,"USD"))</f>
        <v/>
      </c>
    </row>
    <row r="372" customFormat="false" ht="15" hidden="false" customHeight="false" outlineLevel="0" collapsed="false">
      <c r="A372" s="6"/>
      <c r="B372" s="6"/>
      <c r="C372" s="6"/>
      <c r="D372" s="7"/>
      <c r="E372" s="7"/>
      <c r="F372" s="6"/>
      <c r="G372" s="7"/>
      <c r="H372" s="6"/>
      <c r="I372" s="6"/>
      <c r="J372" s="6"/>
      <c r="K372" s="9"/>
      <c r="L372" s="6"/>
      <c r="M372" s="6"/>
      <c r="N372" s="10"/>
      <c r="O372" s="6"/>
      <c r="P372" s="6"/>
      <c r="Q372" s="11" t="str">
        <f aca="false">IF(A372="","",TRIM(B372&amp;" "&amp;C372))</f>
        <v/>
      </c>
      <c r="R372" s="12" t="str">
        <f aca="false">IF(A372="","",SUMIFS(Sesiones!$F:$F,Sesiones!$C:$C,A372,Sesiones!$G:$G,"ARS")-SUMIFS(Pagos!$H:$H,Pagos!$D:$D,A372,Pagos!$I:$I,"ARS"))</f>
        <v/>
      </c>
      <c r="S372" s="13" t="str">
        <f aca="false">IF(A372="","",SUMIFS(Sesiones!$F:$F,Sesiones!$C:$C,A372,Sesiones!$G:$G,"USD")-SUMIFS(Pagos!$H:$H,Pagos!$D:$D,A372,Pagos!$I:$I,"USD"))</f>
        <v/>
      </c>
      <c r="T372" s="12" t="str">
        <f aca="false">IF(A372="","",SUMIFS(Pagos!$H:$H,Pagos!$D:$D,A372,Pagos!$I:$I,"ARS"))</f>
        <v/>
      </c>
      <c r="U372" s="13" t="str">
        <f aca="false">IF(A372="","",SUMIFS(Pagos!$H:$H,Pagos!$D:$D,A372,Pagos!$I:$I,"USD"))</f>
        <v/>
      </c>
    </row>
    <row r="373" customFormat="false" ht="15" hidden="false" customHeight="false" outlineLevel="0" collapsed="false">
      <c r="A373" s="6"/>
      <c r="B373" s="6"/>
      <c r="C373" s="6"/>
      <c r="D373" s="7"/>
      <c r="E373" s="7"/>
      <c r="F373" s="6"/>
      <c r="G373" s="7"/>
      <c r="H373" s="6"/>
      <c r="I373" s="6"/>
      <c r="J373" s="6"/>
      <c r="K373" s="9"/>
      <c r="L373" s="6"/>
      <c r="M373" s="6"/>
      <c r="N373" s="10"/>
      <c r="O373" s="6"/>
      <c r="P373" s="6"/>
      <c r="Q373" s="11" t="str">
        <f aca="false">IF(A373="","",TRIM(B373&amp;" "&amp;C373))</f>
        <v/>
      </c>
      <c r="R373" s="12" t="str">
        <f aca="false">IF(A373="","",SUMIFS(Sesiones!$F:$F,Sesiones!$C:$C,A373,Sesiones!$G:$G,"ARS")-SUMIFS(Pagos!$H:$H,Pagos!$D:$D,A373,Pagos!$I:$I,"ARS"))</f>
        <v/>
      </c>
      <c r="S373" s="13" t="str">
        <f aca="false">IF(A373="","",SUMIFS(Sesiones!$F:$F,Sesiones!$C:$C,A373,Sesiones!$G:$G,"USD")-SUMIFS(Pagos!$H:$H,Pagos!$D:$D,A373,Pagos!$I:$I,"USD"))</f>
        <v/>
      </c>
      <c r="T373" s="12" t="str">
        <f aca="false">IF(A373="","",SUMIFS(Pagos!$H:$H,Pagos!$D:$D,A373,Pagos!$I:$I,"ARS"))</f>
        <v/>
      </c>
      <c r="U373" s="13" t="str">
        <f aca="false">IF(A373="","",SUMIFS(Pagos!$H:$H,Pagos!$D:$D,A373,Pagos!$I:$I,"USD"))</f>
        <v/>
      </c>
    </row>
    <row r="374" customFormat="false" ht="15" hidden="false" customHeight="false" outlineLevel="0" collapsed="false">
      <c r="A374" s="6"/>
      <c r="B374" s="6"/>
      <c r="C374" s="6"/>
      <c r="D374" s="7"/>
      <c r="E374" s="7"/>
      <c r="F374" s="6"/>
      <c r="G374" s="7"/>
      <c r="H374" s="6"/>
      <c r="I374" s="6"/>
      <c r="J374" s="6"/>
      <c r="K374" s="9"/>
      <c r="L374" s="6"/>
      <c r="M374" s="6"/>
      <c r="N374" s="10"/>
      <c r="O374" s="6"/>
      <c r="P374" s="6"/>
      <c r="Q374" s="11" t="str">
        <f aca="false">IF(A374="","",TRIM(B374&amp;" "&amp;C374))</f>
        <v/>
      </c>
      <c r="R374" s="12" t="str">
        <f aca="false">IF(A374="","",SUMIFS(Sesiones!$F:$F,Sesiones!$C:$C,A374,Sesiones!$G:$G,"ARS")-SUMIFS(Pagos!$H:$H,Pagos!$D:$D,A374,Pagos!$I:$I,"ARS"))</f>
        <v/>
      </c>
      <c r="S374" s="13" t="str">
        <f aca="false">IF(A374="","",SUMIFS(Sesiones!$F:$F,Sesiones!$C:$C,A374,Sesiones!$G:$G,"USD")-SUMIFS(Pagos!$H:$H,Pagos!$D:$D,A374,Pagos!$I:$I,"USD"))</f>
        <v/>
      </c>
      <c r="T374" s="12" t="str">
        <f aca="false">IF(A374="","",SUMIFS(Pagos!$H:$H,Pagos!$D:$D,A374,Pagos!$I:$I,"ARS"))</f>
        <v/>
      </c>
      <c r="U374" s="13" t="str">
        <f aca="false">IF(A374="","",SUMIFS(Pagos!$H:$H,Pagos!$D:$D,A374,Pagos!$I:$I,"USD"))</f>
        <v/>
      </c>
    </row>
    <row r="375" customFormat="false" ht="15" hidden="false" customHeight="false" outlineLevel="0" collapsed="false">
      <c r="A375" s="6"/>
      <c r="B375" s="6"/>
      <c r="C375" s="6"/>
      <c r="D375" s="7"/>
      <c r="E375" s="7"/>
      <c r="F375" s="6"/>
      <c r="G375" s="7"/>
      <c r="H375" s="6"/>
      <c r="I375" s="6"/>
      <c r="J375" s="6"/>
      <c r="K375" s="9"/>
      <c r="L375" s="6"/>
      <c r="M375" s="6"/>
      <c r="N375" s="10"/>
      <c r="O375" s="6"/>
      <c r="P375" s="6"/>
      <c r="Q375" s="11" t="str">
        <f aca="false">IF(A375="","",TRIM(B375&amp;" "&amp;C375))</f>
        <v/>
      </c>
      <c r="R375" s="12" t="str">
        <f aca="false">IF(A375="","",SUMIFS(Sesiones!$F:$F,Sesiones!$C:$C,A375,Sesiones!$G:$G,"ARS")-SUMIFS(Pagos!$H:$H,Pagos!$D:$D,A375,Pagos!$I:$I,"ARS"))</f>
        <v/>
      </c>
      <c r="S375" s="13" t="str">
        <f aca="false">IF(A375="","",SUMIFS(Sesiones!$F:$F,Sesiones!$C:$C,A375,Sesiones!$G:$G,"USD")-SUMIFS(Pagos!$H:$H,Pagos!$D:$D,A375,Pagos!$I:$I,"USD"))</f>
        <v/>
      </c>
      <c r="T375" s="12" t="str">
        <f aca="false">IF(A375="","",SUMIFS(Pagos!$H:$H,Pagos!$D:$D,A375,Pagos!$I:$I,"ARS"))</f>
        <v/>
      </c>
      <c r="U375" s="13" t="str">
        <f aca="false">IF(A375="","",SUMIFS(Pagos!$H:$H,Pagos!$D:$D,A375,Pagos!$I:$I,"USD"))</f>
        <v/>
      </c>
    </row>
    <row r="376" customFormat="false" ht="15" hidden="false" customHeight="false" outlineLevel="0" collapsed="false">
      <c r="A376" s="6"/>
      <c r="B376" s="6"/>
      <c r="C376" s="6"/>
      <c r="D376" s="7"/>
      <c r="E376" s="7"/>
      <c r="F376" s="6"/>
      <c r="G376" s="7"/>
      <c r="H376" s="6"/>
      <c r="I376" s="6"/>
      <c r="J376" s="6"/>
      <c r="K376" s="9"/>
      <c r="L376" s="6"/>
      <c r="M376" s="6"/>
      <c r="N376" s="10"/>
      <c r="O376" s="6"/>
      <c r="P376" s="6"/>
      <c r="Q376" s="11" t="str">
        <f aca="false">IF(A376="","",TRIM(B376&amp;" "&amp;C376))</f>
        <v/>
      </c>
      <c r="R376" s="12" t="str">
        <f aca="false">IF(A376="","",SUMIFS(Sesiones!$F:$F,Sesiones!$C:$C,A376,Sesiones!$G:$G,"ARS")-SUMIFS(Pagos!$H:$H,Pagos!$D:$D,A376,Pagos!$I:$I,"ARS"))</f>
        <v/>
      </c>
      <c r="S376" s="13" t="str">
        <f aca="false">IF(A376="","",SUMIFS(Sesiones!$F:$F,Sesiones!$C:$C,A376,Sesiones!$G:$G,"USD")-SUMIFS(Pagos!$H:$H,Pagos!$D:$D,A376,Pagos!$I:$I,"USD"))</f>
        <v/>
      </c>
      <c r="T376" s="12" t="str">
        <f aca="false">IF(A376="","",SUMIFS(Pagos!$H:$H,Pagos!$D:$D,A376,Pagos!$I:$I,"ARS"))</f>
        <v/>
      </c>
      <c r="U376" s="13" t="str">
        <f aca="false">IF(A376="","",SUMIFS(Pagos!$H:$H,Pagos!$D:$D,A376,Pagos!$I:$I,"USD"))</f>
        <v/>
      </c>
    </row>
    <row r="377" customFormat="false" ht="15" hidden="false" customHeight="false" outlineLevel="0" collapsed="false">
      <c r="A377" s="6"/>
      <c r="B377" s="6"/>
      <c r="C377" s="6"/>
      <c r="D377" s="7"/>
      <c r="E377" s="7"/>
      <c r="F377" s="6"/>
      <c r="G377" s="7"/>
      <c r="H377" s="6"/>
      <c r="I377" s="6"/>
      <c r="J377" s="6"/>
      <c r="K377" s="9"/>
      <c r="L377" s="6"/>
      <c r="M377" s="6"/>
      <c r="N377" s="10"/>
      <c r="O377" s="6"/>
      <c r="P377" s="6"/>
      <c r="Q377" s="11" t="str">
        <f aca="false">IF(A377="","",TRIM(B377&amp;" "&amp;C377))</f>
        <v/>
      </c>
      <c r="R377" s="12" t="str">
        <f aca="false">IF(A377="","",SUMIFS(Sesiones!$F:$F,Sesiones!$C:$C,A377,Sesiones!$G:$G,"ARS")-SUMIFS(Pagos!$H:$H,Pagos!$D:$D,A377,Pagos!$I:$I,"ARS"))</f>
        <v/>
      </c>
      <c r="S377" s="13" t="str">
        <f aca="false">IF(A377="","",SUMIFS(Sesiones!$F:$F,Sesiones!$C:$C,A377,Sesiones!$G:$G,"USD")-SUMIFS(Pagos!$H:$H,Pagos!$D:$D,A377,Pagos!$I:$I,"USD"))</f>
        <v/>
      </c>
      <c r="T377" s="12" t="str">
        <f aca="false">IF(A377="","",SUMIFS(Pagos!$H:$H,Pagos!$D:$D,A377,Pagos!$I:$I,"ARS"))</f>
        <v/>
      </c>
      <c r="U377" s="13" t="str">
        <f aca="false">IF(A377="","",SUMIFS(Pagos!$H:$H,Pagos!$D:$D,A377,Pagos!$I:$I,"USD"))</f>
        <v/>
      </c>
    </row>
    <row r="378" customFormat="false" ht="15" hidden="false" customHeight="false" outlineLevel="0" collapsed="false">
      <c r="A378" s="6"/>
      <c r="B378" s="6"/>
      <c r="C378" s="6"/>
      <c r="D378" s="7"/>
      <c r="E378" s="7"/>
      <c r="F378" s="6"/>
      <c r="G378" s="7"/>
      <c r="H378" s="6"/>
      <c r="I378" s="6"/>
      <c r="J378" s="6"/>
      <c r="K378" s="9"/>
      <c r="L378" s="6"/>
      <c r="M378" s="6"/>
      <c r="N378" s="10"/>
      <c r="O378" s="6"/>
      <c r="P378" s="6"/>
      <c r="Q378" s="11" t="str">
        <f aca="false">IF(A378="","",TRIM(B378&amp;" "&amp;C378))</f>
        <v/>
      </c>
      <c r="R378" s="12" t="str">
        <f aca="false">IF(A378="","",SUMIFS(Sesiones!$F:$F,Sesiones!$C:$C,A378,Sesiones!$G:$G,"ARS")-SUMIFS(Pagos!$H:$H,Pagos!$D:$D,A378,Pagos!$I:$I,"ARS"))</f>
        <v/>
      </c>
      <c r="S378" s="13" t="str">
        <f aca="false">IF(A378="","",SUMIFS(Sesiones!$F:$F,Sesiones!$C:$C,A378,Sesiones!$G:$G,"USD")-SUMIFS(Pagos!$H:$H,Pagos!$D:$D,A378,Pagos!$I:$I,"USD"))</f>
        <v/>
      </c>
      <c r="T378" s="12" t="str">
        <f aca="false">IF(A378="","",SUMIFS(Pagos!$H:$H,Pagos!$D:$D,A378,Pagos!$I:$I,"ARS"))</f>
        <v/>
      </c>
      <c r="U378" s="13" t="str">
        <f aca="false">IF(A378="","",SUMIFS(Pagos!$H:$H,Pagos!$D:$D,A378,Pagos!$I:$I,"USD"))</f>
        <v/>
      </c>
    </row>
    <row r="379" customFormat="false" ht="15" hidden="false" customHeight="false" outlineLevel="0" collapsed="false">
      <c r="A379" s="6"/>
      <c r="B379" s="6"/>
      <c r="C379" s="6"/>
      <c r="D379" s="7"/>
      <c r="E379" s="7"/>
      <c r="F379" s="6"/>
      <c r="G379" s="7"/>
      <c r="H379" s="6"/>
      <c r="I379" s="6"/>
      <c r="J379" s="6"/>
      <c r="K379" s="9"/>
      <c r="L379" s="6"/>
      <c r="M379" s="6"/>
      <c r="N379" s="10"/>
      <c r="O379" s="6"/>
      <c r="P379" s="6"/>
      <c r="Q379" s="11" t="str">
        <f aca="false">IF(A379="","",TRIM(B379&amp;" "&amp;C379))</f>
        <v/>
      </c>
      <c r="R379" s="12" t="str">
        <f aca="false">IF(A379="","",SUMIFS(Sesiones!$F:$F,Sesiones!$C:$C,A379,Sesiones!$G:$G,"ARS")-SUMIFS(Pagos!$H:$H,Pagos!$D:$D,A379,Pagos!$I:$I,"ARS"))</f>
        <v/>
      </c>
      <c r="S379" s="13" t="str">
        <f aca="false">IF(A379="","",SUMIFS(Sesiones!$F:$F,Sesiones!$C:$C,A379,Sesiones!$G:$G,"USD")-SUMIFS(Pagos!$H:$H,Pagos!$D:$D,A379,Pagos!$I:$I,"USD"))</f>
        <v/>
      </c>
      <c r="T379" s="12" t="str">
        <f aca="false">IF(A379="","",SUMIFS(Pagos!$H:$H,Pagos!$D:$D,A379,Pagos!$I:$I,"ARS"))</f>
        <v/>
      </c>
      <c r="U379" s="13" t="str">
        <f aca="false">IF(A379="","",SUMIFS(Pagos!$H:$H,Pagos!$D:$D,A379,Pagos!$I:$I,"USD"))</f>
        <v/>
      </c>
    </row>
    <row r="380" customFormat="false" ht="15" hidden="false" customHeight="false" outlineLevel="0" collapsed="false">
      <c r="A380" s="6"/>
      <c r="B380" s="6"/>
      <c r="C380" s="6"/>
      <c r="D380" s="7"/>
      <c r="E380" s="7"/>
      <c r="F380" s="6"/>
      <c r="G380" s="7"/>
      <c r="H380" s="6"/>
      <c r="I380" s="6"/>
      <c r="J380" s="6"/>
      <c r="K380" s="9"/>
      <c r="L380" s="6"/>
      <c r="M380" s="6"/>
      <c r="N380" s="10"/>
      <c r="O380" s="6"/>
      <c r="P380" s="6"/>
      <c r="Q380" s="11" t="str">
        <f aca="false">IF(A380="","",TRIM(B380&amp;" "&amp;C380))</f>
        <v/>
      </c>
      <c r="R380" s="12" t="str">
        <f aca="false">IF(A380="","",SUMIFS(Sesiones!$F:$F,Sesiones!$C:$C,A380,Sesiones!$G:$G,"ARS")-SUMIFS(Pagos!$H:$H,Pagos!$D:$D,A380,Pagos!$I:$I,"ARS"))</f>
        <v/>
      </c>
      <c r="S380" s="13" t="str">
        <f aca="false">IF(A380="","",SUMIFS(Sesiones!$F:$F,Sesiones!$C:$C,A380,Sesiones!$G:$G,"USD")-SUMIFS(Pagos!$H:$H,Pagos!$D:$D,A380,Pagos!$I:$I,"USD"))</f>
        <v/>
      </c>
      <c r="T380" s="12" t="str">
        <f aca="false">IF(A380="","",SUMIFS(Pagos!$H:$H,Pagos!$D:$D,A380,Pagos!$I:$I,"ARS"))</f>
        <v/>
      </c>
      <c r="U380" s="13" t="str">
        <f aca="false">IF(A380="","",SUMIFS(Pagos!$H:$H,Pagos!$D:$D,A380,Pagos!$I:$I,"USD"))</f>
        <v/>
      </c>
    </row>
    <row r="381" customFormat="false" ht="15" hidden="false" customHeight="false" outlineLevel="0" collapsed="false">
      <c r="A381" s="6"/>
      <c r="B381" s="6"/>
      <c r="C381" s="6"/>
      <c r="D381" s="7"/>
      <c r="E381" s="7"/>
      <c r="F381" s="6"/>
      <c r="G381" s="7"/>
      <c r="H381" s="6"/>
      <c r="I381" s="6"/>
      <c r="J381" s="6"/>
      <c r="K381" s="9"/>
      <c r="L381" s="6"/>
      <c r="M381" s="6"/>
      <c r="N381" s="10"/>
      <c r="O381" s="6"/>
      <c r="P381" s="6"/>
      <c r="Q381" s="11" t="str">
        <f aca="false">IF(A381="","",TRIM(B381&amp;" "&amp;C381))</f>
        <v/>
      </c>
      <c r="R381" s="12" t="str">
        <f aca="false">IF(A381="","",SUMIFS(Sesiones!$F:$F,Sesiones!$C:$C,A381,Sesiones!$G:$G,"ARS")-SUMIFS(Pagos!$H:$H,Pagos!$D:$D,A381,Pagos!$I:$I,"ARS"))</f>
        <v/>
      </c>
      <c r="S381" s="13" t="str">
        <f aca="false">IF(A381="","",SUMIFS(Sesiones!$F:$F,Sesiones!$C:$C,A381,Sesiones!$G:$G,"USD")-SUMIFS(Pagos!$H:$H,Pagos!$D:$D,A381,Pagos!$I:$I,"USD"))</f>
        <v/>
      </c>
      <c r="T381" s="12" t="str">
        <f aca="false">IF(A381="","",SUMIFS(Pagos!$H:$H,Pagos!$D:$D,A381,Pagos!$I:$I,"ARS"))</f>
        <v/>
      </c>
      <c r="U381" s="13" t="str">
        <f aca="false">IF(A381="","",SUMIFS(Pagos!$H:$H,Pagos!$D:$D,A381,Pagos!$I:$I,"USD"))</f>
        <v/>
      </c>
    </row>
    <row r="382" customFormat="false" ht="15" hidden="false" customHeight="false" outlineLevel="0" collapsed="false">
      <c r="A382" s="6"/>
      <c r="B382" s="6"/>
      <c r="C382" s="6"/>
      <c r="D382" s="7"/>
      <c r="E382" s="7"/>
      <c r="F382" s="6"/>
      <c r="G382" s="7"/>
      <c r="H382" s="6"/>
      <c r="I382" s="6"/>
      <c r="J382" s="6"/>
      <c r="K382" s="9"/>
      <c r="L382" s="6"/>
      <c r="M382" s="6"/>
      <c r="N382" s="10"/>
      <c r="O382" s="6"/>
      <c r="P382" s="6"/>
      <c r="Q382" s="11" t="str">
        <f aca="false">IF(A382="","",TRIM(B382&amp;" "&amp;C382))</f>
        <v/>
      </c>
      <c r="R382" s="12" t="str">
        <f aca="false">IF(A382="","",SUMIFS(Sesiones!$F:$F,Sesiones!$C:$C,A382,Sesiones!$G:$G,"ARS")-SUMIFS(Pagos!$H:$H,Pagos!$D:$D,A382,Pagos!$I:$I,"ARS"))</f>
        <v/>
      </c>
      <c r="S382" s="13" t="str">
        <f aca="false">IF(A382="","",SUMIFS(Sesiones!$F:$F,Sesiones!$C:$C,A382,Sesiones!$G:$G,"USD")-SUMIFS(Pagos!$H:$H,Pagos!$D:$D,A382,Pagos!$I:$I,"USD"))</f>
        <v/>
      </c>
      <c r="T382" s="12" t="str">
        <f aca="false">IF(A382="","",SUMIFS(Pagos!$H:$H,Pagos!$D:$D,A382,Pagos!$I:$I,"ARS"))</f>
        <v/>
      </c>
      <c r="U382" s="13" t="str">
        <f aca="false">IF(A382="","",SUMIFS(Pagos!$H:$H,Pagos!$D:$D,A382,Pagos!$I:$I,"USD"))</f>
        <v/>
      </c>
    </row>
    <row r="383" customFormat="false" ht="15" hidden="false" customHeight="false" outlineLevel="0" collapsed="false">
      <c r="A383" s="6"/>
      <c r="B383" s="6"/>
      <c r="C383" s="6"/>
      <c r="D383" s="7"/>
      <c r="E383" s="7"/>
      <c r="F383" s="6"/>
      <c r="G383" s="7"/>
      <c r="H383" s="6"/>
      <c r="I383" s="6"/>
      <c r="J383" s="6"/>
      <c r="K383" s="9"/>
      <c r="L383" s="6"/>
      <c r="M383" s="6"/>
      <c r="N383" s="10"/>
      <c r="O383" s="6"/>
      <c r="P383" s="6"/>
      <c r="Q383" s="11" t="str">
        <f aca="false">IF(A383="","",TRIM(B383&amp;" "&amp;C383))</f>
        <v/>
      </c>
      <c r="R383" s="12" t="str">
        <f aca="false">IF(A383="","",SUMIFS(Sesiones!$F:$F,Sesiones!$C:$C,A383,Sesiones!$G:$G,"ARS")-SUMIFS(Pagos!$H:$H,Pagos!$D:$D,A383,Pagos!$I:$I,"ARS"))</f>
        <v/>
      </c>
      <c r="S383" s="13" t="str">
        <f aca="false">IF(A383="","",SUMIFS(Sesiones!$F:$F,Sesiones!$C:$C,A383,Sesiones!$G:$G,"USD")-SUMIFS(Pagos!$H:$H,Pagos!$D:$D,A383,Pagos!$I:$I,"USD"))</f>
        <v/>
      </c>
      <c r="T383" s="12" t="str">
        <f aca="false">IF(A383="","",SUMIFS(Pagos!$H:$H,Pagos!$D:$D,A383,Pagos!$I:$I,"ARS"))</f>
        <v/>
      </c>
      <c r="U383" s="13" t="str">
        <f aca="false">IF(A383="","",SUMIFS(Pagos!$H:$H,Pagos!$D:$D,A383,Pagos!$I:$I,"USD"))</f>
        <v/>
      </c>
    </row>
    <row r="384" customFormat="false" ht="15" hidden="false" customHeight="false" outlineLevel="0" collapsed="false">
      <c r="A384" s="6"/>
      <c r="B384" s="6"/>
      <c r="C384" s="6"/>
      <c r="D384" s="7"/>
      <c r="E384" s="7"/>
      <c r="F384" s="6"/>
      <c r="G384" s="7"/>
      <c r="H384" s="6"/>
      <c r="I384" s="6"/>
      <c r="J384" s="6"/>
      <c r="K384" s="9"/>
      <c r="L384" s="6"/>
      <c r="M384" s="6"/>
      <c r="N384" s="10"/>
      <c r="O384" s="6"/>
      <c r="P384" s="6"/>
      <c r="Q384" s="11" t="str">
        <f aca="false">IF(A384="","",TRIM(B384&amp;" "&amp;C384))</f>
        <v/>
      </c>
      <c r="R384" s="12" t="str">
        <f aca="false">IF(A384="","",SUMIFS(Sesiones!$F:$F,Sesiones!$C:$C,A384,Sesiones!$G:$G,"ARS")-SUMIFS(Pagos!$H:$H,Pagos!$D:$D,A384,Pagos!$I:$I,"ARS"))</f>
        <v/>
      </c>
      <c r="S384" s="13" t="str">
        <f aca="false">IF(A384="","",SUMIFS(Sesiones!$F:$F,Sesiones!$C:$C,A384,Sesiones!$G:$G,"USD")-SUMIFS(Pagos!$H:$H,Pagos!$D:$D,A384,Pagos!$I:$I,"USD"))</f>
        <v/>
      </c>
      <c r="T384" s="12" t="str">
        <f aca="false">IF(A384="","",SUMIFS(Pagos!$H:$H,Pagos!$D:$D,A384,Pagos!$I:$I,"ARS"))</f>
        <v/>
      </c>
      <c r="U384" s="13" t="str">
        <f aca="false">IF(A384="","",SUMIFS(Pagos!$H:$H,Pagos!$D:$D,A384,Pagos!$I:$I,"USD"))</f>
        <v/>
      </c>
    </row>
    <row r="385" customFormat="false" ht="15" hidden="false" customHeight="false" outlineLevel="0" collapsed="false">
      <c r="A385" s="6"/>
      <c r="B385" s="6"/>
      <c r="C385" s="6"/>
      <c r="D385" s="7"/>
      <c r="E385" s="7"/>
      <c r="F385" s="6"/>
      <c r="G385" s="7"/>
      <c r="H385" s="6"/>
      <c r="I385" s="6"/>
      <c r="J385" s="6"/>
      <c r="K385" s="9"/>
      <c r="L385" s="6"/>
      <c r="M385" s="6"/>
      <c r="N385" s="10"/>
      <c r="O385" s="6"/>
      <c r="P385" s="6"/>
      <c r="Q385" s="11" t="str">
        <f aca="false">IF(A385="","",TRIM(B385&amp;" "&amp;C385))</f>
        <v/>
      </c>
      <c r="R385" s="12" t="str">
        <f aca="false">IF(A385="","",SUMIFS(Sesiones!$F:$F,Sesiones!$C:$C,A385,Sesiones!$G:$G,"ARS")-SUMIFS(Pagos!$H:$H,Pagos!$D:$D,A385,Pagos!$I:$I,"ARS"))</f>
        <v/>
      </c>
      <c r="S385" s="13" t="str">
        <f aca="false">IF(A385="","",SUMIFS(Sesiones!$F:$F,Sesiones!$C:$C,A385,Sesiones!$G:$G,"USD")-SUMIFS(Pagos!$H:$H,Pagos!$D:$D,A385,Pagos!$I:$I,"USD"))</f>
        <v/>
      </c>
      <c r="T385" s="12" t="str">
        <f aca="false">IF(A385="","",SUMIFS(Pagos!$H:$H,Pagos!$D:$D,A385,Pagos!$I:$I,"ARS"))</f>
        <v/>
      </c>
      <c r="U385" s="13" t="str">
        <f aca="false">IF(A385="","",SUMIFS(Pagos!$H:$H,Pagos!$D:$D,A385,Pagos!$I:$I,"USD"))</f>
        <v/>
      </c>
    </row>
    <row r="386" customFormat="false" ht="15" hidden="false" customHeight="false" outlineLevel="0" collapsed="false">
      <c r="A386" s="6"/>
      <c r="B386" s="6"/>
      <c r="C386" s="6"/>
      <c r="D386" s="7"/>
      <c r="E386" s="7"/>
      <c r="F386" s="6"/>
      <c r="G386" s="7"/>
      <c r="H386" s="6"/>
      <c r="I386" s="6"/>
      <c r="J386" s="6"/>
      <c r="K386" s="9"/>
      <c r="L386" s="6"/>
      <c r="M386" s="6"/>
      <c r="N386" s="10"/>
      <c r="O386" s="6"/>
      <c r="P386" s="6"/>
      <c r="Q386" s="11" t="str">
        <f aca="false">IF(A386="","",TRIM(B386&amp;" "&amp;C386))</f>
        <v/>
      </c>
      <c r="R386" s="12" t="str">
        <f aca="false">IF(A386="","",SUMIFS(Sesiones!$F:$F,Sesiones!$C:$C,A386,Sesiones!$G:$G,"ARS")-SUMIFS(Pagos!$H:$H,Pagos!$D:$D,A386,Pagos!$I:$I,"ARS"))</f>
        <v/>
      </c>
      <c r="S386" s="13" t="str">
        <f aca="false">IF(A386="","",SUMIFS(Sesiones!$F:$F,Sesiones!$C:$C,A386,Sesiones!$G:$G,"USD")-SUMIFS(Pagos!$H:$H,Pagos!$D:$D,A386,Pagos!$I:$I,"USD"))</f>
        <v/>
      </c>
      <c r="T386" s="12" t="str">
        <f aca="false">IF(A386="","",SUMIFS(Pagos!$H:$H,Pagos!$D:$D,A386,Pagos!$I:$I,"ARS"))</f>
        <v/>
      </c>
      <c r="U386" s="13" t="str">
        <f aca="false">IF(A386="","",SUMIFS(Pagos!$H:$H,Pagos!$D:$D,A386,Pagos!$I:$I,"USD"))</f>
        <v/>
      </c>
    </row>
    <row r="387" customFormat="false" ht="15" hidden="false" customHeight="false" outlineLevel="0" collapsed="false">
      <c r="A387" s="6"/>
      <c r="B387" s="6"/>
      <c r="C387" s="6"/>
      <c r="D387" s="7"/>
      <c r="E387" s="7"/>
      <c r="F387" s="6"/>
      <c r="G387" s="7"/>
      <c r="H387" s="6"/>
      <c r="I387" s="6"/>
      <c r="J387" s="6"/>
      <c r="K387" s="9"/>
      <c r="L387" s="6"/>
      <c r="M387" s="6"/>
      <c r="N387" s="10"/>
      <c r="O387" s="6"/>
      <c r="P387" s="6"/>
      <c r="Q387" s="11" t="str">
        <f aca="false">IF(A387="","",TRIM(B387&amp;" "&amp;C387))</f>
        <v/>
      </c>
      <c r="R387" s="12" t="str">
        <f aca="false">IF(A387="","",SUMIFS(Sesiones!$F:$F,Sesiones!$C:$C,A387,Sesiones!$G:$G,"ARS")-SUMIFS(Pagos!$H:$H,Pagos!$D:$D,A387,Pagos!$I:$I,"ARS"))</f>
        <v/>
      </c>
      <c r="S387" s="13" t="str">
        <f aca="false">IF(A387="","",SUMIFS(Sesiones!$F:$F,Sesiones!$C:$C,A387,Sesiones!$G:$G,"USD")-SUMIFS(Pagos!$H:$H,Pagos!$D:$D,A387,Pagos!$I:$I,"USD"))</f>
        <v/>
      </c>
      <c r="T387" s="12" t="str">
        <f aca="false">IF(A387="","",SUMIFS(Pagos!$H:$H,Pagos!$D:$D,A387,Pagos!$I:$I,"ARS"))</f>
        <v/>
      </c>
      <c r="U387" s="13" t="str">
        <f aca="false">IF(A387="","",SUMIFS(Pagos!$H:$H,Pagos!$D:$D,A387,Pagos!$I:$I,"USD"))</f>
        <v/>
      </c>
    </row>
    <row r="388" customFormat="false" ht="15" hidden="false" customHeight="false" outlineLevel="0" collapsed="false">
      <c r="A388" s="6"/>
      <c r="B388" s="6"/>
      <c r="C388" s="6"/>
      <c r="D388" s="7"/>
      <c r="E388" s="7"/>
      <c r="F388" s="6"/>
      <c r="G388" s="7"/>
      <c r="H388" s="6"/>
      <c r="I388" s="6"/>
      <c r="J388" s="6"/>
      <c r="K388" s="9"/>
      <c r="L388" s="6"/>
      <c r="M388" s="6"/>
      <c r="N388" s="10"/>
      <c r="O388" s="6"/>
      <c r="P388" s="6"/>
      <c r="Q388" s="11" t="str">
        <f aca="false">IF(A388="","",TRIM(B388&amp;" "&amp;C388))</f>
        <v/>
      </c>
      <c r="R388" s="12" t="str">
        <f aca="false">IF(A388="","",SUMIFS(Sesiones!$F:$F,Sesiones!$C:$C,A388,Sesiones!$G:$G,"ARS")-SUMIFS(Pagos!$H:$H,Pagos!$D:$D,A388,Pagos!$I:$I,"ARS"))</f>
        <v/>
      </c>
      <c r="S388" s="13" t="str">
        <f aca="false">IF(A388="","",SUMIFS(Sesiones!$F:$F,Sesiones!$C:$C,A388,Sesiones!$G:$G,"USD")-SUMIFS(Pagos!$H:$H,Pagos!$D:$D,A388,Pagos!$I:$I,"USD"))</f>
        <v/>
      </c>
      <c r="T388" s="12" t="str">
        <f aca="false">IF(A388="","",SUMIFS(Pagos!$H:$H,Pagos!$D:$D,A388,Pagos!$I:$I,"ARS"))</f>
        <v/>
      </c>
      <c r="U388" s="13" t="str">
        <f aca="false">IF(A388="","",SUMIFS(Pagos!$H:$H,Pagos!$D:$D,A388,Pagos!$I:$I,"USD"))</f>
        <v/>
      </c>
    </row>
    <row r="389" customFormat="false" ht="15" hidden="false" customHeight="false" outlineLevel="0" collapsed="false">
      <c r="A389" s="6"/>
      <c r="B389" s="6"/>
      <c r="C389" s="6"/>
      <c r="D389" s="7"/>
      <c r="E389" s="7"/>
      <c r="F389" s="6"/>
      <c r="G389" s="7"/>
      <c r="H389" s="6"/>
      <c r="I389" s="6"/>
      <c r="J389" s="6"/>
      <c r="K389" s="9"/>
      <c r="L389" s="6"/>
      <c r="M389" s="6"/>
      <c r="N389" s="10"/>
      <c r="O389" s="6"/>
      <c r="P389" s="6"/>
      <c r="Q389" s="11" t="str">
        <f aca="false">IF(A389="","",TRIM(B389&amp;" "&amp;C389))</f>
        <v/>
      </c>
      <c r="R389" s="12" t="str">
        <f aca="false">IF(A389="","",SUMIFS(Sesiones!$F:$F,Sesiones!$C:$C,A389,Sesiones!$G:$G,"ARS")-SUMIFS(Pagos!$H:$H,Pagos!$D:$D,A389,Pagos!$I:$I,"ARS"))</f>
        <v/>
      </c>
      <c r="S389" s="13" t="str">
        <f aca="false">IF(A389="","",SUMIFS(Sesiones!$F:$F,Sesiones!$C:$C,A389,Sesiones!$G:$G,"USD")-SUMIFS(Pagos!$H:$H,Pagos!$D:$D,A389,Pagos!$I:$I,"USD"))</f>
        <v/>
      </c>
      <c r="T389" s="12" t="str">
        <f aca="false">IF(A389="","",SUMIFS(Pagos!$H:$H,Pagos!$D:$D,A389,Pagos!$I:$I,"ARS"))</f>
        <v/>
      </c>
      <c r="U389" s="13" t="str">
        <f aca="false">IF(A389="","",SUMIFS(Pagos!$H:$H,Pagos!$D:$D,A389,Pagos!$I:$I,"USD"))</f>
        <v/>
      </c>
    </row>
    <row r="390" customFormat="false" ht="15" hidden="false" customHeight="false" outlineLevel="0" collapsed="false">
      <c r="A390" s="6"/>
      <c r="B390" s="6"/>
      <c r="C390" s="6"/>
      <c r="D390" s="7"/>
      <c r="E390" s="7"/>
      <c r="F390" s="6"/>
      <c r="G390" s="7"/>
      <c r="H390" s="6"/>
      <c r="I390" s="6"/>
      <c r="J390" s="6"/>
      <c r="K390" s="9"/>
      <c r="L390" s="6"/>
      <c r="M390" s="6"/>
      <c r="N390" s="10"/>
      <c r="O390" s="6"/>
      <c r="P390" s="6"/>
      <c r="Q390" s="11" t="str">
        <f aca="false">IF(A390="","",TRIM(B390&amp;" "&amp;C390))</f>
        <v/>
      </c>
      <c r="R390" s="12" t="str">
        <f aca="false">IF(A390="","",SUMIFS(Sesiones!$F:$F,Sesiones!$C:$C,A390,Sesiones!$G:$G,"ARS")-SUMIFS(Pagos!$H:$H,Pagos!$D:$D,A390,Pagos!$I:$I,"ARS"))</f>
        <v/>
      </c>
      <c r="S390" s="13" t="str">
        <f aca="false">IF(A390="","",SUMIFS(Sesiones!$F:$F,Sesiones!$C:$C,A390,Sesiones!$G:$G,"USD")-SUMIFS(Pagos!$H:$H,Pagos!$D:$D,A390,Pagos!$I:$I,"USD"))</f>
        <v/>
      </c>
      <c r="T390" s="12" t="str">
        <f aca="false">IF(A390="","",SUMIFS(Pagos!$H:$H,Pagos!$D:$D,A390,Pagos!$I:$I,"ARS"))</f>
        <v/>
      </c>
      <c r="U390" s="13" t="str">
        <f aca="false">IF(A390="","",SUMIFS(Pagos!$H:$H,Pagos!$D:$D,A390,Pagos!$I:$I,"USD"))</f>
        <v/>
      </c>
    </row>
    <row r="391" customFormat="false" ht="15" hidden="false" customHeight="false" outlineLevel="0" collapsed="false">
      <c r="A391" s="6"/>
      <c r="B391" s="6"/>
      <c r="C391" s="6"/>
      <c r="D391" s="7"/>
      <c r="E391" s="7"/>
      <c r="F391" s="6"/>
      <c r="G391" s="7"/>
      <c r="H391" s="6"/>
      <c r="I391" s="6"/>
      <c r="J391" s="6"/>
      <c r="K391" s="9"/>
      <c r="L391" s="6"/>
      <c r="M391" s="6"/>
      <c r="N391" s="10"/>
      <c r="O391" s="6"/>
      <c r="P391" s="6"/>
      <c r="Q391" s="11" t="str">
        <f aca="false">IF(A391="","",TRIM(B391&amp;" "&amp;C391))</f>
        <v/>
      </c>
      <c r="R391" s="12" t="str">
        <f aca="false">IF(A391="","",SUMIFS(Sesiones!$F:$F,Sesiones!$C:$C,A391,Sesiones!$G:$G,"ARS")-SUMIFS(Pagos!$H:$H,Pagos!$D:$D,A391,Pagos!$I:$I,"ARS"))</f>
        <v/>
      </c>
      <c r="S391" s="13" t="str">
        <f aca="false">IF(A391="","",SUMIFS(Sesiones!$F:$F,Sesiones!$C:$C,A391,Sesiones!$G:$G,"USD")-SUMIFS(Pagos!$H:$H,Pagos!$D:$D,A391,Pagos!$I:$I,"USD"))</f>
        <v/>
      </c>
      <c r="T391" s="12" t="str">
        <f aca="false">IF(A391="","",SUMIFS(Pagos!$H:$H,Pagos!$D:$D,A391,Pagos!$I:$I,"ARS"))</f>
        <v/>
      </c>
      <c r="U391" s="13" t="str">
        <f aca="false">IF(A391="","",SUMIFS(Pagos!$H:$H,Pagos!$D:$D,A391,Pagos!$I:$I,"USD"))</f>
        <v/>
      </c>
    </row>
    <row r="392" customFormat="false" ht="15" hidden="false" customHeight="false" outlineLevel="0" collapsed="false">
      <c r="A392" s="6"/>
      <c r="B392" s="6"/>
      <c r="C392" s="6"/>
      <c r="D392" s="7"/>
      <c r="E392" s="7"/>
      <c r="F392" s="6"/>
      <c r="G392" s="7"/>
      <c r="H392" s="6"/>
      <c r="I392" s="6"/>
      <c r="J392" s="6"/>
      <c r="K392" s="9"/>
      <c r="L392" s="6"/>
      <c r="M392" s="6"/>
      <c r="N392" s="10"/>
      <c r="O392" s="6"/>
      <c r="P392" s="6"/>
      <c r="Q392" s="11" t="str">
        <f aca="false">IF(A392="","",TRIM(B392&amp;" "&amp;C392))</f>
        <v/>
      </c>
      <c r="R392" s="12" t="str">
        <f aca="false">IF(A392="","",SUMIFS(Sesiones!$F:$F,Sesiones!$C:$C,A392,Sesiones!$G:$G,"ARS")-SUMIFS(Pagos!$H:$H,Pagos!$D:$D,A392,Pagos!$I:$I,"ARS"))</f>
        <v/>
      </c>
      <c r="S392" s="13" t="str">
        <f aca="false">IF(A392="","",SUMIFS(Sesiones!$F:$F,Sesiones!$C:$C,A392,Sesiones!$G:$G,"USD")-SUMIFS(Pagos!$H:$H,Pagos!$D:$D,A392,Pagos!$I:$I,"USD"))</f>
        <v/>
      </c>
      <c r="T392" s="12" t="str">
        <f aca="false">IF(A392="","",SUMIFS(Pagos!$H:$H,Pagos!$D:$D,A392,Pagos!$I:$I,"ARS"))</f>
        <v/>
      </c>
      <c r="U392" s="13" t="str">
        <f aca="false">IF(A392="","",SUMIFS(Pagos!$H:$H,Pagos!$D:$D,A392,Pagos!$I:$I,"USD"))</f>
        <v/>
      </c>
    </row>
    <row r="393" customFormat="false" ht="15" hidden="false" customHeight="false" outlineLevel="0" collapsed="false">
      <c r="A393" s="6"/>
      <c r="B393" s="6"/>
      <c r="C393" s="6"/>
      <c r="D393" s="7"/>
      <c r="E393" s="7"/>
      <c r="F393" s="6"/>
      <c r="G393" s="7"/>
      <c r="H393" s="6"/>
      <c r="I393" s="6"/>
      <c r="J393" s="6"/>
      <c r="K393" s="9"/>
      <c r="L393" s="6"/>
      <c r="M393" s="6"/>
      <c r="N393" s="10"/>
      <c r="O393" s="6"/>
      <c r="P393" s="6"/>
      <c r="Q393" s="11" t="str">
        <f aca="false">IF(A393="","",TRIM(B393&amp;" "&amp;C393))</f>
        <v/>
      </c>
      <c r="R393" s="12" t="str">
        <f aca="false">IF(A393="","",SUMIFS(Sesiones!$F:$F,Sesiones!$C:$C,A393,Sesiones!$G:$G,"ARS")-SUMIFS(Pagos!$H:$H,Pagos!$D:$D,A393,Pagos!$I:$I,"ARS"))</f>
        <v/>
      </c>
      <c r="S393" s="13" t="str">
        <f aca="false">IF(A393="","",SUMIFS(Sesiones!$F:$F,Sesiones!$C:$C,A393,Sesiones!$G:$G,"USD")-SUMIFS(Pagos!$H:$H,Pagos!$D:$D,A393,Pagos!$I:$I,"USD"))</f>
        <v/>
      </c>
      <c r="T393" s="12" t="str">
        <f aca="false">IF(A393="","",SUMIFS(Pagos!$H:$H,Pagos!$D:$D,A393,Pagos!$I:$I,"ARS"))</f>
        <v/>
      </c>
      <c r="U393" s="13" t="str">
        <f aca="false">IF(A393="","",SUMIFS(Pagos!$H:$H,Pagos!$D:$D,A393,Pagos!$I:$I,"USD"))</f>
        <v/>
      </c>
    </row>
    <row r="394" customFormat="false" ht="15" hidden="false" customHeight="false" outlineLevel="0" collapsed="false">
      <c r="A394" s="6"/>
      <c r="B394" s="6"/>
      <c r="C394" s="6"/>
      <c r="D394" s="7"/>
      <c r="E394" s="7"/>
      <c r="F394" s="6"/>
      <c r="G394" s="7"/>
      <c r="H394" s="6"/>
      <c r="I394" s="6"/>
      <c r="J394" s="6"/>
      <c r="K394" s="9"/>
      <c r="L394" s="6"/>
      <c r="M394" s="6"/>
      <c r="N394" s="10"/>
      <c r="O394" s="6"/>
      <c r="P394" s="6"/>
      <c r="Q394" s="11" t="str">
        <f aca="false">IF(A394="","",TRIM(B394&amp;" "&amp;C394))</f>
        <v/>
      </c>
      <c r="R394" s="12" t="str">
        <f aca="false">IF(A394="","",SUMIFS(Sesiones!$F:$F,Sesiones!$C:$C,A394,Sesiones!$G:$G,"ARS")-SUMIFS(Pagos!$H:$H,Pagos!$D:$D,A394,Pagos!$I:$I,"ARS"))</f>
        <v/>
      </c>
      <c r="S394" s="13" t="str">
        <f aca="false">IF(A394="","",SUMIFS(Sesiones!$F:$F,Sesiones!$C:$C,A394,Sesiones!$G:$G,"USD")-SUMIFS(Pagos!$H:$H,Pagos!$D:$D,A394,Pagos!$I:$I,"USD"))</f>
        <v/>
      </c>
      <c r="T394" s="12" t="str">
        <f aca="false">IF(A394="","",SUMIFS(Pagos!$H:$H,Pagos!$D:$D,A394,Pagos!$I:$I,"ARS"))</f>
        <v/>
      </c>
      <c r="U394" s="13" t="str">
        <f aca="false">IF(A394="","",SUMIFS(Pagos!$H:$H,Pagos!$D:$D,A394,Pagos!$I:$I,"USD"))</f>
        <v/>
      </c>
    </row>
    <row r="395" customFormat="false" ht="15" hidden="false" customHeight="false" outlineLevel="0" collapsed="false">
      <c r="A395" s="6"/>
      <c r="B395" s="6"/>
      <c r="C395" s="6"/>
      <c r="D395" s="7"/>
      <c r="E395" s="7"/>
      <c r="F395" s="6"/>
      <c r="G395" s="7"/>
      <c r="H395" s="6"/>
      <c r="I395" s="6"/>
      <c r="J395" s="6"/>
      <c r="K395" s="9"/>
      <c r="L395" s="6"/>
      <c r="M395" s="6"/>
      <c r="N395" s="10"/>
      <c r="O395" s="6"/>
      <c r="P395" s="6"/>
      <c r="Q395" s="11" t="str">
        <f aca="false">IF(A395="","",TRIM(B395&amp;" "&amp;C395))</f>
        <v/>
      </c>
      <c r="R395" s="12" t="str">
        <f aca="false">IF(A395="","",SUMIFS(Sesiones!$F:$F,Sesiones!$C:$C,A395,Sesiones!$G:$G,"ARS")-SUMIFS(Pagos!$H:$H,Pagos!$D:$D,A395,Pagos!$I:$I,"ARS"))</f>
        <v/>
      </c>
      <c r="S395" s="13" t="str">
        <f aca="false">IF(A395="","",SUMIFS(Sesiones!$F:$F,Sesiones!$C:$C,A395,Sesiones!$G:$G,"USD")-SUMIFS(Pagos!$H:$H,Pagos!$D:$D,A395,Pagos!$I:$I,"USD"))</f>
        <v/>
      </c>
      <c r="T395" s="12" t="str">
        <f aca="false">IF(A395="","",SUMIFS(Pagos!$H:$H,Pagos!$D:$D,A395,Pagos!$I:$I,"ARS"))</f>
        <v/>
      </c>
      <c r="U395" s="13" t="str">
        <f aca="false">IF(A395="","",SUMIFS(Pagos!$H:$H,Pagos!$D:$D,A395,Pagos!$I:$I,"USD"))</f>
        <v/>
      </c>
    </row>
    <row r="396" customFormat="false" ht="15" hidden="false" customHeight="false" outlineLevel="0" collapsed="false">
      <c r="A396" s="6"/>
      <c r="B396" s="6"/>
      <c r="C396" s="6"/>
      <c r="D396" s="7"/>
      <c r="E396" s="7"/>
      <c r="F396" s="6"/>
      <c r="G396" s="7"/>
      <c r="H396" s="6"/>
      <c r="I396" s="6"/>
      <c r="J396" s="6"/>
      <c r="K396" s="9"/>
      <c r="L396" s="6"/>
      <c r="M396" s="6"/>
      <c r="N396" s="10"/>
      <c r="O396" s="6"/>
      <c r="P396" s="6"/>
      <c r="Q396" s="11" t="str">
        <f aca="false">IF(A396="","",TRIM(B396&amp;" "&amp;C396))</f>
        <v/>
      </c>
      <c r="R396" s="12" t="str">
        <f aca="false">IF(A396="","",SUMIFS(Sesiones!$F:$F,Sesiones!$C:$C,A396,Sesiones!$G:$G,"ARS")-SUMIFS(Pagos!$H:$H,Pagos!$D:$D,A396,Pagos!$I:$I,"ARS"))</f>
        <v/>
      </c>
      <c r="S396" s="13" t="str">
        <f aca="false">IF(A396="","",SUMIFS(Sesiones!$F:$F,Sesiones!$C:$C,A396,Sesiones!$G:$G,"USD")-SUMIFS(Pagos!$H:$H,Pagos!$D:$D,A396,Pagos!$I:$I,"USD"))</f>
        <v/>
      </c>
      <c r="T396" s="12" t="str">
        <f aca="false">IF(A396="","",SUMIFS(Pagos!$H:$H,Pagos!$D:$D,A396,Pagos!$I:$I,"ARS"))</f>
        <v/>
      </c>
      <c r="U396" s="13" t="str">
        <f aca="false">IF(A396="","",SUMIFS(Pagos!$H:$H,Pagos!$D:$D,A396,Pagos!$I:$I,"USD"))</f>
        <v/>
      </c>
    </row>
    <row r="397" customFormat="false" ht="15" hidden="false" customHeight="false" outlineLevel="0" collapsed="false">
      <c r="A397" s="6"/>
      <c r="B397" s="6"/>
      <c r="C397" s="6"/>
      <c r="D397" s="7"/>
      <c r="E397" s="7"/>
      <c r="F397" s="6"/>
      <c r="G397" s="7"/>
      <c r="H397" s="6"/>
      <c r="I397" s="6"/>
      <c r="J397" s="6"/>
      <c r="K397" s="9"/>
      <c r="L397" s="6"/>
      <c r="M397" s="6"/>
      <c r="N397" s="10"/>
      <c r="O397" s="6"/>
      <c r="P397" s="6"/>
      <c r="Q397" s="11" t="str">
        <f aca="false">IF(A397="","",TRIM(B397&amp;" "&amp;C397))</f>
        <v/>
      </c>
      <c r="R397" s="12" t="str">
        <f aca="false">IF(A397="","",SUMIFS(Sesiones!$F:$F,Sesiones!$C:$C,A397,Sesiones!$G:$G,"ARS")-SUMIFS(Pagos!$H:$H,Pagos!$D:$D,A397,Pagos!$I:$I,"ARS"))</f>
        <v/>
      </c>
      <c r="S397" s="13" t="str">
        <f aca="false">IF(A397="","",SUMIFS(Sesiones!$F:$F,Sesiones!$C:$C,A397,Sesiones!$G:$G,"USD")-SUMIFS(Pagos!$H:$H,Pagos!$D:$D,A397,Pagos!$I:$I,"USD"))</f>
        <v/>
      </c>
      <c r="T397" s="12" t="str">
        <f aca="false">IF(A397="","",SUMIFS(Pagos!$H:$H,Pagos!$D:$D,A397,Pagos!$I:$I,"ARS"))</f>
        <v/>
      </c>
      <c r="U397" s="13" t="str">
        <f aca="false">IF(A397="","",SUMIFS(Pagos!$H:$H,Pagos!$D:$D,A397,Pagos!$I:$I,"USD"))</f>
        <v/>
      </c>
    </row>
    <row r="398" customFormat="false" ht="15" hidden="false" customHeight="false" outlineLevel="0" collapsed="false">
      <c r="A398" s="6"/>
      <c r="B398" s="6"/>
      <c r="C398" s="6"/>
      <c r="D398" s="7"/>
      <c r="E398" s="7"/>
      <c r="F398" s="6"/>
      <c r="G398" s="7"/>
      <c r="H398" s="6"/>
      <c r="I398" s="6"/>
      <c r="J398" s="6"/>
      <c r="K398" s="9"/>
      <c r="L398" s="6"/>
      <c r="M398" s="6"/>
      <c r="N398" s="10"/>
      <c r="O398" s="6"/>
      <c r="P398" s="6"/>
      <c r="Q398" s="11" t="str">
        <f aca="false">IF(A398="","",TRIM(B398&amp;" "&amp;C398))</f>
        <v/>
      </c>
      <c r="R398" s="12" t="str">
        <f aca="false">IF(A398="","",SUMIFS(Sesiones!$F:$F,Sesiones!$C:$C,A398,Sesiones!$G:$G,"ARS")-SUMIFS(Pagos!$H:$H,Pagos!$D:$D,A398,Pagos!$I:$I,"ARS"))</f>
        <v/>
      </c>
      <c r="S398" s="13" t="str">
        <f aca="false">IF(A398="","",SUMIFS(Sesiones!$F:$F,Sesiones!$C:$C,A398,Sesiones!$G:$G,"USD")-SUMIFS(Pagos!$H:$H,Pagos!$D:$D,A398,Pagos!$I:$I,"USD"))</f>
        <v/>
      </c>
      <c r="T398" s="12" t="str">
        <f aca="false">IF(A398="","",SUMIFS(Pagos!$H:$H,Pagos!$D:$D,A398,Pagos!$I:$I,"ARS"))</f>
        <v/>
      </c>
      <c r="U398" s="13" t="str">
        <f aca="false">IF(A398="","",SUMIFS(Pagos!$H:$H,Pagos!$D:$D,A398,Pagos!$I:$I,"USD"))</f>
        <v/>
      </c>
    </row>
    <row r="399" customFormat="false" ht="15" hidden="false" customHeight="false" outlineLevel="0" collapsed="false">
      <c r="A399" s="6"/>
      <c r="B399" s="6"/>
      <c r="C399" s="6"/>
      <c r="D399" s="7"/>
      <c r="E399" s="7"/>
      <c r="F399" s="6"/>
      <c r="G399" s="7"/>
      <c r="H399" s="6"/>
      <c r="I399" s="6"/>
      <c r="J399" s="6"/>
      <c r="K399" s="9"/>
      <c r="L399" s="6"/>
      <c r="M399" s="6"/>
      <c r="N399" s="10"/>
      <c r="O399" s="6"/>
      <c r="P399" s="6"/>
      <c r="Q399" s="11" t="str">
        <f aca="false">IF(A399="","",TRIM(B399&amp;" "&amp;C399))</f>
        <v/>
      </c>
      <c r="R399" s="12" t="str">
        <f aca="false">IF(A399="","",SUMIFS(Sesiones!$F:$F,Sesiones!$C:$C,A399,Sesiones!$G:$G,"ARS")-SUMIFS(Pagos!$H:$H,Pagos!$D:$D,A399,Pagos!$I:$I,"ARS"))</f>
        <v/>
      </c>
      <c r="S399" s="13" t="str">
        <f aca="false">IF(A399="","",SUMIFS(Sesiones!$F:$F,Sesiones!$C:$C,A399,Sesiones!$G:$G,"USD")-SUMIFS(Pagos!$H:$H,Pagos!$D:$D,A399,Pagos!$I:$I,"USD"))</f>
        <v/>
      </c>
      <c r="T399" s="12" t="str">
        <f aca="false">IF(A399="","",SUMIFS(Pagos!$H:$H,Pagos!$D:$D,A399,Pagos!$I:$I,"ARS"))</f>
        <v/>
      </c>
      <c r="U399" s="13" t="str">
        <f aca="false">IF(A399="","",SUMIFS(Pagos!$H:$H,Pagos!$D:$D,A399,Pagos!$I:$I,"USD"))</f>
        <v/>
      </c>
    </row>
    <row r="400" customFormat="false" ht="15" hidden="false" customHeight="false" outlineLevel="0" collapsed="false">
      <c r="A400" s="6"/>
      <c r="B400" s="6"/>
      <c r="C400" s="6"/>
      <c r="D400" s="7"/>
      <c r="E400" s="7"/>
      <c r="F400" s="6"/>
      <c r="G400" s="7"/>
      <c r="H400" s="6"/>
      <c r="I400" s="6"/>
      <c r="J400" s="6"/>
      <c r="K400" s="9"/>
      <c r="L400" s="6"/>
      <c r="M400" s="6"/>
      <c r="N400" s="10"/>
      <c r="O400" s="6"/>
      <c r="P400" s="6"/>
      <c r="Q400" s="11" t="str">
        <f aca="false">IF(A400="","",TRIM(B400&amp;" "&amp;C400))</f>
        <v/>
      </c>
      <c r="R400" s="12" t="str">
        <f aca="false">IF(A400="","",SUMIFS(Sesiones!$F:$F,Sesiones!$C:$C,A400,Sesiones!$G:$G,"ARS")-SUMIFS(Pagos!$H:$H,Pagos!$D:$D,A400,Pagos!$I:$I,"ARS"))</f>
        <v/>
      </c>
      <c r="S400" s="13" t="str">
        <f aca="false">IF(A400="","",SUMIFS(Sesiones!$F:$F,Sesiones!$C:$C,A400,Sesiones!$G:$G,"USD")-SUMIFS(Pagos!$H:$H,Pagos!$D:$D,A400,Pagos!$I:$I,"USD"))</f>
        <v/>
      </c>
      <c r="T400" s="12" t="str">
        <f aca="false">IF(A400="","",SUMIFS(Pagos!$H:$H,Pagos!$D:$D,A400,Pagos!$I:$I,"ARS"))</f>
        <v/>
      </c>
      <c r="U400" s="13" t="str">
        <f aca="false">IF(A400="","",SUMIFS(Pagos!$H:$H,Pagos!$D:$D,A400,Pagos!$I:$I,"USD"))</f>
        <v/>
      </c>
    </row>
    <row r="401" customFormat="false" ht="15" hidden="false" customHeight="false" outlineLevel="0" collapsed="false">
      <c r="A401" s="6"/>
      <c r="B401" s="6"/>
      <c r="C401" s="6"/>
      <c r="D401" s="7"/>
      <c r="E401" s="7"/>
      <c r="F401" s="6"/>
      <c r="G401" s="7"/>
      <c r="H401" s="6"/>
      <c r="I401" s="6"/>
      <c r="J401" s="6"/>
      <c r="K401" s="9"/>
      <c r="L401" s="6"/>
      <c r="M401" s="6"/>
      <c r="N401" s="10"/>
      <c r="O401" s="6"/>
      <c r="P401" s="6"/>
      <c r="Q401" s="11" t="str">
        <f aca="false">IF(A401="","",TRIM(B401&amp;" "&amp;C401))</f>
        <v/>
      </c>
      <c r="R401" s="12" t="str">
        <f aca="false">IF(A401="","",SUMIFS(Sesiones!$F:$F,Sesiones!$C:$C,A401,Sesiones!$G:$G,"ARS")-SUMIFS(Pagos!$H:$H,Pagos!$D:$D,A401,Pagos!$I:$I,"ARS"))</f>
        <v/>
      </c>
      <c r="S401" s="13" t="str">
        <f aca="false">IF(A401="","",SUMIFS(Sesiones!$F:$F,Sesiones!$C:$C,A401,Sesiones!$G:$G,"USD")-SUMIFS(Pagos!$H:$H,Pagos!$D:$D,A401,Pagos!$I:$I,"USD"))</f>
        <v/>
      </c>
      <c r="T401" s="12" t="str">
        <f aca="false">IF(A401="","",SUMIFS(Pagos!$H:$H,Pagos!$D:$D,A401,Pagos!$I:$I,"ARS"))</f>
        <v/>
      </c>
      <c r="U401" s="13" t="str">
        <f aca="false">IF(A401="","",SUMIFS(Pagos!$H:$H,Pagos!$D:$D,A401,Pagos!$I:$I,"USD"))</f>
        <v/>
      </c>
    </row>
    <row r="402" customFormat="false" ht="15" hidden="false" customHeight="false" outlineLevel="0" collapsed="false">
      <c r="A402" s="6"/>
      <c r="B402" s="6"/>
      <c r="C402" s="6"/>
      <c r="D402" s="7"/>
      <c r="E402" s="7"/>
      <c r="F402" s="6"/>
      <c r="G402" s="7"/>
      <c r="H402" s="6"/>
      <c r="I402" s="6"/>
      <c r="J402" s="6"/>
      <c r="K402" s="9"/>
      <c r="L402" s="6"/>
      <c r="M402" s="6"/>
      <c r="N402" s="10"/>
      <c r="O402" s="6"/>
      <c r="P402" s="6"/>
      <c r="Q402" s="11" t="str">
        <f aca="false">IF(A402="","",TRIM(B402&amp;" "&amp;C402))</f>
        <v/>
      </c>
      <c r="R402" s="12" t="str">
        <f aca="false">IF(A402="","",SUMIFS(Sesiones!$F:$F,Sesiones!$C:$C,A402,Sesiones!$G:$G,"ARS")-SUMIFS(Pagos!$H:$H,Pagos!$D:$D,A402,Pagos!$I:$I,"ARS"))</f>
        <v/>
      </c>
      <c r="S402" s="13" t="str">
        <f aca="false">IF(A402="","",SUMIFS(Sesiones!$F:$F,Sesiones!$C:$C,A402,Sesiones!$G:$G,"USD")-SUMIFS(Pagos!$H:$H,Pagos!$D:$D,A402,Pagos!$I:$I,"USD"))</f>
        <v/>
      </c>
      <c r="T402" s="12" t="str">
        <f aca="false">IF(A402="","",SUMIFS(Pagos!$H:$H,Pagos!$D:$D,A402,Pagos!$I:$I,"ARS"))</f>
        <v/>
      </c>
      <c r="U402" s="13" t="str">
        <f aca="false">IF(A402="","",SUMIFS(Pagos!$H:$H,Pagos!$D:$D,A402,Pagos!$I:$I,"USD"))</f>
        <v/>
      </c>
    </row>
    <row r="403" customFormat="false" ht="15" hidden="false" customHeight="false" outlineLevel="0" collapsed="false">
      <c r="A403" s="6"/>
      <c r="B403" s="6"/>
      <c r="C403" s="6"/>
      <c r="D403" s="7"/>
      <c r="E403" s="7"/>
      <c r="F403" s="6"/>
      <c r="G403" s="7"/>
      <c r="H403" s="6"/>
      <c r="I403" s="6"/>
      <c r="J403" s="6"/>
      <c r="K403" s="9"/>
      <c r="L403" s="6"/>
      <c r="M403" s="6"/>
      <c r="N403" s="10"/>
      <c r="O403" s="6"/>
      <c r="P403" s="6"/>
      <c r="Q403" s="11" t="str">
        <f aca="false">IF(A403="","",TRIM(B403&amp;" "&amp;C403))</f>
        <v/>
      </c>
      <c r="R403" s="12" t="str">
        <f aca="false">IF(A403="","",SUMIFS(Sesiones!$F:$F,Sesiones!$C:$C,A403,Sesiones!$G:$G,"ARS")-SUMIFS(Pagos!$H:$H,Pagos!$D:$D,A403,Pagos!$I:$I,"ARS"))</f>
        <v/>
      </c>
      <c r="S403" s="13" t="str">
        <f aca="false">IF(A403="","",SUMIFS(Sesiones!$F:$F,Sesiones!$C:$C,A403,Sesiones!$G:$G,"USD")-SUMIFS(Pagos!$H:$H,Pagos!$D:$D,A403,Pagos!$I:$I,"USD"))</f>
        <v/>
      </c>
      <c r="T403" s="12" t="str">
        <f aca="false">IF(A403="","",SUMIFS(Pagos!$H:$H,Pagos!$D:$D,A403,Pagos!$I:$I,"ARS"))</f>
        <v/>
      </c>
      <c r="U403" s="13" t="str">
        <f aca="false">IF(A403="","",SUMIFS(Pagos!$H:$H,Pagos!$D:$D,A403,Pagos!$I:$I,"USD"))</f>
        <v/>
      </c>
    </row>
    <row r="404" customFormat="false" ht="15" hidden="false" customHeight="false" outlineLevel="0" collapsed="false">
      <c r="A404" s="6"/>
      <c r="B404" s="6"/>
      <c r="C404" s="6"/>
      <c r="D404" s="7"/>
      <c r="E404" s="7"/>
      <c r="F404" s="6"/>
      <c r="G404" s="7"/>
      <c r="H404" s="6"/>
      <c r="I404" s="6"/>
      <c r="J404" s="6"/>
      <c r="K404" s="9"/>
      <c r="L404" s="6"/>
      <c r="M404" s="6"/>
      <c r="N404" s="10"/>
      <c r="O404" s="6"/>
      <c r="P404" s="6"/>
      <c r="Q404" s="11" t="str">
        <f aca="false">IF(A404="","",TRIM(B404&amp;" "&amp;C404))</f>
        <v/>
      </c>
      <c r="R404" s="12" t="str">
        <f aca="false">IF(A404="","",SUMIFS(Sesiones!$F:$F,Sesiones!$C:$C,A404,Sesiones!$G:$G,"ARS")-SUMIFS(Pagos!$H:$H,Pagos!$D:$D,A404,Pagos!$I:$I,"ARS"))</f>
        <v/>
      </c>
      <c r="S404" s="13" t="str">
        <f aca="false">IF(A404="","",SUMIFS(Sesiones!$F:$F,Sesiones!$C:$C,A404,Sesiones!$G:$G,"USD")-SUMIFS(Pagos!$H:$H,Pagos!$D:$D,A404,Pagos!$I:$I,"USD"))</f>
        <v/>
      </c>
      <c r="T404" s="12" t="str">
        <f aca="false">IF(A404="","",SUMIFS(Pagos!$H:$H,Pagos!$D:$D,A404,Pagos!$I:$I,"ARS"))</f>
        <v/>
      </c>
      <c r="U404" s="13" t="str">
        <f aca="false">IF(A404="","",SUMIFS(Pagos!$H:$H,Pagos!$D:$D,A404,Pagos!$I:$I,"USD"))</f>
        <v/>
      </c>
    </row>
    <row r="405" customFormat="false" ht="15" hidden="false" customHeight="false" outlineLevel="0" collapsed="false">
      <c r="A405" s="6"/>
      <c r="B405" s="6"/>
      <c r="C405" s="6"/>
      <c r="D405" s="7"/>
      <c r="E405" s="7"/>
      <c r="F405" s="6"/>
      <c r="G405" s="7"/>
      <c r="H405" s="6"/>
      <c r="I405" s="6"/>
      <c r="J405" s="6"/>
      <c r="K405" s="9"/>
      <c r="L405" s="6"/>
      <c r="M405" s="6"/>
      <c r="N405" s="10"/>
      <c r="O405" s="6"/>
      <c r="P405" s="6"/>
      <c r="Q405" s="11" t="str">
        <f aca="false">IF(A405="","",TRIM(B405&amp;" "&amp;C405))</f>
        <v/>
      </c>
      <c r="R405" s="12" t="str">
        <f aca="false">IF(A405="","",SUMIFS(Sesiones!$F:$F,Sesiones!$C:$C,A405,Sesiones!$G:$G,"ARS")-SUMIFS(Pagos!$H:$H,Pagos!$D:$D,A405,Pagos!$I:$I,"ARS"))</f>
        <v/>
      </c>
      <c r="S405" s="13" t="str">
        <f aca="false">IF(A405="","",SUMIFS(Sesiones!$F:$F,Sesiones!$C:$C,A405,Sesiones!$G:$G,"USD")-SUMIFS(Pagos!$H:$H,Pagos!$D:$D,A405,Pagos!$I:$I,"USD"))</f>
        <v/>
      </c>
      <c r="T405" s="12" t="str">
        <f aca="false">IF(A405="","",SUMIFS(Pagos!$H:$H,Pagos!$D:$D,A405,Pagos!$I:$I,"ARS"))</f>
        <v/>
      </c>
      <c r="U405" s="13" t="str">
        <f aca="false">IF(A405="","",SUMIFS(Pagos!$H:$H,Pagos!$D:$D,A405,Pagos!$I:$I,"USD"))</f>
        <v/>
      </c>
    </row>
    <row r="406" customFormat="false" ht="15" hidden="false" customHeight="false" outlineLevel="0" collapsed="false">
      <c r="A406" s="6"/>
      <c r="B406" s="6"/>
      <c r="C406" s="6"/>
      <c r="D406" s="7"/>
      <c r="E406" s="7"/>
      <c r="F406" s="6"/>
      <c r="G406" s="7"/>
      <c r="H406" s="6"/>
      <c r="I406" s="6"/>
      <c r="J406" s="6"/>
      <c r="K406" s="9"/>
      <c r="L406" s="6"/>
      <c r="M406" s="6"/>
      <c r="N406" s="10"/>
      <c r="O406" s="6"/>
      <c r="P406" s="6"/>
      <c r="Q406" s="11" t="str">
        <f aca="false">IF(A406="","",TRIM(B406&amp;" "&amp;C406))</f>
        <v/>
      </c>
      <c r="R406" s="12" t="str">
        <f aca="false">IF(A406="","",SUMIFS(Sesiones!$F:$F,Sesiones!$C:$C,A406,Sesiones!$G:$G,"ARS")-SUMIFS(Pagos!$H:$H,Pagos!$D:$D,A406,Pagos!$I:$I,"ARS"))</f>
        <v/>
      </c>
      <c r="S406" s="13" t="str">
        <f aca="false">IF(A406="","",SUMIFS(Sesiones!$F:$F,Sesiones!$C:$C,A406,Sesiones!$G:$G,"USD")-SUMIFS(Pagos!$H:$H,Pagos!$D:$D,A406,Pagos!$I:$I,"USD"))</f>
        <v/>
      </c>
      <c r="T406" s="12" t="str">
        <f aca="false">IF(A406="","",SUMIFS(Pagos!$H:$H,Pagos!$D:$D,A406,Pagos!$I:$I,"ARS"))</f>
        <v/>
      </c>
      <c r="U406" s="13" t="str">
        <f aca="false">IF(A406="","",SUMIFS(Pagos!$H:$H,Pagos!$D:$D,A406,Pagos!$I:$I,"USD"))</f>
        <v/>
      </c>
    </row>
    <row r="407" customFormat="false" ht="15" hidden="false" customHeight="false" outlineLevel="0" collapsed="false">
      <c r="A407" s="6"/>
      <c r="B407" s="6"/>
      <c r="C407" s="6"/>
      <c r="D407" s="7"/>
      <c r="E407" s="7"/>
      <c r="F407" s="6"/>
      <c r="G407" s="7"/>
      <c r="H407" s="6"/>
      <c r="I407" s="6"/>
      <c r="J407" s="6"/>
      <c r="K407" s="9"/>
      <c r="L407" s="6"/>
      <c r="M407" s="6"/>
      <c r="N407" s="10"/>
      <c r="O407" s="6"/>
      <c r="P407" s="6"/>
      <c r="Q407" s="11" t="str">
        <f aca="false">IF(A407="","",TRIM(B407&amp;" "&amp;C407))</f>
        <v/>
      </c>
      <c r="R407" s="12" t="str">
        <f aca="false">IF(A407="","",SUMIFS(Sesiones!$F:$F,Sesiones!$C:$C,A407,Sesiones!$G:$G,"ARS")-SUMIFS(Pagos!$H:$H,Pagos!$D:$D,A407,Pagos!$I:$I,"ARS"))</f>
        <v/>
      </c>
      <c r="S407" s="13" t="str">
        <f aca="false">IF(A407="","",SUMIFS(Sesiones!$F:$F,Sesiones!$C:$C,A407,Sesiones!$G:$G,"USD")-SUMIFS(Pagos!$H:$H,Pagos!$D:$D,A407,Pagos!$I:$I,"USD"))</f>
        <v/>
      </c>
      <c r="T407" s="12" t="str">
        <f aca="false">IF(A407="","",SUMIFS(Pagos!$H:$H,Pagos!$D:$D,A407,Pagos!$I:$I,"ARS"))</f>
        <v/>
      </c>
      <c r="U407" s="13" t="str">
        <f aca="false">IF(A407="","",SUMIFS(Pagos!$H:$H,Pagos!$D:$D,A407,Pagos!$I:$I,"USD"))</f>
        <v/>
      </c>
    </row>
    <row r="408" customFormat="false" ht="15" hidden="false" customHeight="false" outlineLevel="0" collapsed="false">
      <c r="A408" s="6"/>
      <c r="B408" s="6"/>
      <c r="C408" s="6"/>
      <c r="D408" s="7"/>
      <c r="E408" s="7"/>
      <c r="F408" s="6"/>
      <c r="G408" s="7"/>
      <c r="H408" s="6"/>
      <c r="I408" s="6"/>
      <c r="J408" s="6"/>
      <c r="K408" s="9"/>
      <c r="L408" s="6"/>
      <c r="M408" s="6"/>
      <c r="N408" s="10"/>
      <c r="O408" s="6"/>
      <c r="P408" s="6"/>
      <c r="Q408" s="11" t="str">
        <f aca="false">IF(A408="","",TRIM(B408&amp;" "&amp;C408))</f>
        <v/>
      </c>
      <c r="R408" s="12" t="str">
        <f aca="false">IF(A408="","",SUMIFS(Sesiones!$F:$F,Sesiones!$C:$C,A408,Sesiones!$G:$G,"ARS")-SUMIFS(Pagos!$H:$H,Pagos!$D:$D,A408,Pagos!$I:$I,"ARS"))</f>
        <v/>
      </c>
      <c r="S408" s="13" t="str">
        <f aca="false">IF(A408="","",SUMIFS(Sesiones!$F:$F,Sesiones!$C:$C,A408,Sesiones!$G:$G,"USD")-SUMIFS(Pagos!$H:$H,Pagos!$D:$D,A408,Pagos!$I:$I,"USD"))</f>
        <v/>
      </c>
      <c r="T408" s="12" t="str">
        <f aca="false">IF(A408="","",SUMIFS(Pagos!$H:$H,Pagos!$D:$D,A408,Pagos!$I:$I,"ARS"))</f>
        <v/>
      </c>
      <c r="U408" s="13" t="str">
        <f aca="false">IF(A408="","",SUMIFS(Pagos!$H:$H,Pagos!$D:$D,A408,Pagos!$I:$I,"USD"))</f>
        <v/>
      </c>
    </row>
    <row r="409" customFormat="false" ht="15" hidden="false" customHeight="false" outlineLevel="0" collapsed="false">
      <c r="A409" s="6"/>
      <c r="B409" s="6"/>
      <c r="C409" s="6"/>
      <c r="D409" s="7"/>
      <c r="E409" s="7"/>
      <c r="F409" s="6"/>
      <c r="G409" s="7"/>
      <c r="H409" s="6"/>
      <c r="I409" s="6"/>
      <c r="J409" s="6"/>
      <c r="K409" s="9"/>
      <c r="L409" s="6"/>
      <c r="M409" s="6"/>
      <c r="N409" s="10"/>
      <c r="O409" s="6"/>
      <c r="P409" s="6"/>
      <c r="Q409" s="11" t="str">
        <f aca="false">IF(A409="","",TRIM(B409&amp;" "&amp;C409))</f>
        <v/>
      </c>
      <c r="R409" s="12" t="str">
        <f aca="false">IF(A409="","",SUMIFS(Sesiones!$F:$F,Sesiones!$C:$C,A409,Sesiones!$G:$G,"ARS")-SUMIFS(Pagos!$H:$H,Pagos!$D:$D,A409,Pagos!$I:$I,"ARS"))</f>
        <v/>
      </c>
      <c r="S409" s="13" t="str">
        <f aca="false">IF(A409="","",SUMIFS(Sesiones!$F:$F,Sesiones!$C:$C,A409,Sesiones!$G:$G,"USD")-SUMIFS(Pagos!$H:$H,Pagos!$D:$D,A409,Pagos!$I:$I,"USD"))</f>
        <v/>
      </c>
      <c r="T409" s="12" t="str">
        <f aca="false">IF(A409="","",SUMIFS(Pagos!$H:$H,Pagos!$D:$D,A409,Pagos!$I:$I,"ARS"))</f>
        <v/>
      </c>
      <c r="U409" s="13" t="str">
        <f aca="false">IF(A409="","",SUMIFS(Pagos!$H:$H,Pagos!$D:$D,A409,Pagos!$I:$I,"USD"))</f>
        <v/>
      </c>
    </row>
    <row r="410" customFormat="false" ht="15" hidden="false" customHeight="false" outlineLevel="0" collapsed="false">
      <c r="A410" s="6"/>
      <c r="B410" s="6"/>
      <c r="C410" s="6"/>
      <c r="D410" s="7"/>
      <c r="E410" s="7"/>
      <c r="F410" s="6"/>
      <c r="G410" s="7"/>
      <c r="H410" s="6"/>
      <c r="I410" s="6"/>
      <c r="J410" s="6"/>
      <c r="K410" s="9"/>
      <c r="L410" s="6"/>
      <c r="M410" s="6"/>
      <c r="N410" s="10"/>
      <c r="O410" s="6"/>
      <c r="P410" s="6"/>
      <c r="Q410" s="11" t="str">
        <f aca="false">IF(A410="","",TRIM(B410&amp;" "&amp;C410))</f>
        <v/>
      </c>
      <c r="R410" s="12" t="str">
        <f aca="false">IF(A410="","",SUMIFS(Sesiones!$F:$F,Sesiones!$C:$C,A410,Sesiones!$G:$G,"ARS")-SUMIFS(Pagos!$H:$H,Pagos!$D:$D,A410,Pagos!$I:$I,"ARS"))</f>
        <v/>
      </c>
      <c r="S410" s="13" t="str">
        <f aca="false">IF(A410="","",SUMIFS(Sesiones!$F:$F,Sesiones!$C:$C,A410,Sesiones!$G:$G,"USD")-SUMIFS(Pagos!$H:$H,Pagos!$D:$D,A410,Pagos!$I:$I,"USD"))</f>
        <v/>
      </c>
      <c r="T410" s="12" t="str">
        <f aca="false">IF(A410="","",SUMIFS(Pagos!$H:$H,Pagos!$D:$D,A410,Pagos!$I:$I,"ARS"))</f>
        <v/>
      </c>
      <c r="U410" s="13" t="str">
        <f aca="false">IF(A410="","",SUMIFS(Pagos!$H:$H,Pagos!$D:$D,A410,Pagos!$I:$I,"USD"))</f>
        <v/>
      </c>
    </row>
    <row r="411" customFormat="false" ht="15" hidden="false" customHeight="false" outlineLevel="0" collapsed="false">
      <c r="A411" s="6"/>
      <c r="B411" s="6"/>
      <c r="C411" s="6"/>
      <c r="D411" s="7"/>
      <c r="E411" s="7"/>
      <c r="F411" s="6"/>
      <c r="G411" s="7"/>
      <c r="H411" s="6"/>
      <c r="I411" s="6"/>
      <c r="J411" s="6"/>
      <c r="K411" s="9"/>
      <c r="L411" s="6"/>
      <c r="M411" s="6"/>
      <c r="N411" s="10"/>
      <c r="O411" s="6"/>
      <c r="P411" s="6"/>
      <c r="Q411" s="11" t="str">
        <f aca="false">IF(A411="","",TRIM(B411&amp;" "&amp;C411))</f>
        <v/>
      </c>
      <c r="R411" s="12" t="str">
        <f aca="false">IF(A411="","",SUMIFS(Sesiones!$F:$F,Sesiones!$C:$C,A411,Sesiones!$G:$G,"ARS")-SUMIFS(Pagos!$H:$H,Pagos!$D:$D,A411,Pagos!$I:$I,"ARS"))</f>
        <v/>
      </c>
      <c r="S411" s="13" t="str">
        <f aca="false">IF(A411="","",SUMIFS(Sesiones!$F:$F,Sesiones!$C:$C,A411,Sesiones!$G:$G,"USD")-SUMIFS(Pagos!$H:$H,Pagos!$D:$D,A411,Pagos!$I:$I,"USD"))</f>
        <v/>
      </c>
      <c r="T411" s="12" t="str">
        <f aca="false">IF(A411="","",SUMIFS(Pagos!$H:$H,Pagos!$D:$D,A411,Pagos!$I:$I,"ARS"))</f>
        <v/>
      </c>
      <c r="U411" s="13" t="str">
        <f aca="false">IF(A411="","",SUMIFS(Pagos!$H:$H,Pagos!$D:$D,A411,Pagos!$I:$I,"USD"))</f>
        <v/>
      </c>
    </row>
    <row r="412" customFormat="false" ht="15" hidden="false" customHeight="false" outlineLevel="0" collapsed="false">
      <c r="A412" s="6"/>
      <c r="B412" s="6"/>
      <c r="C412" s="6"/>
      <c r="D412" s="7"/>
      <c r="E412" s="7"/>
      <c r="F412" s="6"/>
      <c r="G412" s="7"/>
      <c r="H412" s="6"/>
      <c r="I412" s="6"/>
      <c r="J412" s="6"/>
      <c r="K412" s="9"/>
      <c r="L412" s="6"/>
      <c r="M412" s="6"/>
      <c r="N412" s="10"/>
      <c r="O412" s="6"/>
      <c r="P412" s="6"/>
      <c r="Q412" s="11" t="str">
        <f aca="false">IF(A412="","",TRIM(B412&amp;" "&amp;C412))</f>
        <v/>
      </c>
      <c r="R412" s="12" t="str">
        <f aca="false">IF(A412="","",SUMIFS(Sesiones!$F:$F,Sesiones!$C:$C,A412,Sesiones!$G:$G,"ARS")-SUMIFS(Pagos!$H:$H,Pagos!$D:$D,A412,Pagos!$I:$I,"ARS"))</f>
        <v/>
      </c>
      <c r="S412" s="13" t="str">
        <f aca="false">IF(A412="","",SUMIFS(Sesiones!$F:$F,Sesiones!$C:$C,A412,Sesiones!$G:$G,"USD")-SUMIFS(Pagos!$H:$H,Pagos!$D:$D,A412,Pagos!$I:$I,"USD"))</f>
        <v/>
      </c>
      <c r="T412" s="12" t="str">
        <f aca="false">IF(A412="","",SUMIFS(Pagos!$H:$H,Pagos!$D:$D,A412,Pagos!$I:$I,"ARS"))</f>
        <v/>
      </c>
      <c r="U412" s="13" t="str">
        <f aca="false">IF(A412="","",SUMIFS(Pagos!$H:$H,Pagos!$D:$D,A412,Pagos!$I:$I,"USD"))</f>
        <v/>
      </c>
    </row>
    <row r="413" customFormat="false" ht="15" hidden="false" customHeight="false" outlineLevel="0" collapsed="false">
      <c r="A413" s="6"/>
      <c r="B413" s="6"/>
      <c r="C413" s="6"/>
      <c r="D413" s="7"/>
      <c r="E413" s="7"/>
      <c r="F413" s="6"/>
      <c r="G413" s="7"/>
      <c r="H413" s="6"/>
      <c r="I413" s="6"/>
      <c r="J413" s="6"/>
      <c r="K413" s="9"/>
      <c r="L413" s="6"/>
      <c r="M413" s="6"/>
      <c r="N413" s="10"/>
      <c r="O413" s="6"/>
      <c r="P413" s="6"/>
      <c r="Q413" s="11" t="str">
        <f aca="false">IF(A413="","",TRIM(B413&amp;" "&amp;C413))</f>
        <v/>
      </c>
      <c r="R413" s="12" t="str">
        <f aca="false">IF(A413="","",SUMIFS(Sesiones!$F:$F,Sesiones!$C:$C,A413,Sesiones!$G:$G,"ARS")-SUMIFS(Pagos!$H:$H,Pagos!$D:$D,A413,Pagos!$I:$I,"ARS"))</f>
        <v/>
      </c>
      <c r="S413" s="13" t="str">
        <f aca="false">IF(A413="","",SUMIFS(Sesiones!$F:$F,Sesiones!$C:$C,A413,Sesiones!$G:$G,"USD")-SUMIFS(Pagos!$H:$H,Pagos!$D:$D,A413,Pagos!$I:$I,"USD"))</f>
        <v/>
      </c>
      <c r="T413" s="12" t="str">
        <f aca="false">IF(A413="","",SUMIFS(Pagos!$H:$H,Pagos!$D:$D,A413,Pagos!$I:$I,"ARS"))</f>
        <v/>
      </c>
      <c r="U413" s="13" t="str">
        <f aca="false">IF(A413="","",SUMIFS(Pagos!$H:$H,Pagos!$D:$D,A413,Pagos!$I:$I,"USD"))</f>
        <v/>
      </c>
    </row>
    <row r="414" customFormat="false" ht="15" hidden="false" customHeight="false" outlineLevel="0" collapsed="false">
      <c r="A414" s="6"/>
      <c r="B414" s="6"/>
      <c r="C414" s="6"/>
      <c r="D414" s="7"/>
      <c r="E414" s="7"/>
      <c r="F414" s="6"/>
      <c r="G414" s="7"/>
      <c r="H414" s="6"/>
      <c r="I414" s="6"/>
      <c r="J414" s="6"/>
      <c r="K414" s="9"/>
      <c r="L414" s="6"/>
      <c r="M414" s="6"/>
      <c r="N414" s="10"/>
      <c r="O414" s="6"/>
      <c r="P414" s="6"/>
      <c r="Q414" s="11" t="str">
        <f aca="false">IF(A414="","",TRIM(B414&amp;" "&amp;C414))</f>
        <v/>
      </c>
      <c r="R414" s="12" t="str">
        <f aca="false">IF(A414="","",SUMIFS(Sesiones!$F:$F,Sesiones!$C:$C,A414,Sesiones!$G:$G,"ARS")-SUMIFS(Pagos!$H:$H,Pagos!$D:$D,A414,Pagos!$I:$I,"ARS"))</f>
        <v/>
      </c>
      <c r="S414" s="13" t="str">
        <f aca="false">IF(A414="","",SUMIFS(Sesiones!$F:$F,Sesiones!$C:$C,A414,Sesiones!$G:$G,"USD")-SUMIFS(Pagos!$H:$H,Pagos!$D:$D,A414,Pagos!$I:$I,"USD"))</f>
        <v/>
      </c>
      <c r="T414" s="12" t="str">
        <f aca="false">IF(A414="","",SUMIFS(Pagos!$H:$H,Pagos!$D:$D,A414,Pagos!$I:$I,"ARS"))</f>
        <v/>
      </c>
      <c r="U414" s="13" t="str">
        <f aca="false">IF(A414="","",SUMIFS(Pagos!$H:$H,Pagos!$D:$D,A414,Pagos!$I:$I,"USD"))</f>
        <v/>
      </c>
    </row>
    <row r="415" customFormat="false" ht="15" hidden="false" customHeight="false" outlineLevel="0" collapsed="false">
      <c r="A415" s="6"/>
      <c r="B415" s="6"/>
      <c r="C415" s="6"/>
      <c r="D415" s="7"/>
      <c r="E415" s="7"/>
      <c r="F415" s="6"/>
      <c r="G415" s="7"/>
      <c r="H415" s="6"/>
      <c r="I415" s="6"/>
      <c r="J415" s="6"/>
      <c r="K415" s="9"/>
      <c r="L415" s="6"/>
      <c r="M415" s="6"/>
      <c r="N415" s="10"/>
      <c r="O415" s="6"/>
      <c r="P415" s="6"/>
      <c r="Q415" s="11" t="str">
        <f aca="false">IF(A415="","",TRIM(B415&amp;" "&amp;C415))</f>
        <v/>
      </c>
      <c r="R415" s="12" t="str">
        <f aca="false">IF(A415="","",SUMIFS(Sesiones!$F:$F,Sesiones!$C:$C,A415,Sesiones!$G:$G,"ARS")-SUMIFS(Pagos!$H:$H,Pagos!$D:$D,A415,Pagos!$I:$I,"ARS"))</f>
        <v/>
      </c>
      <c r="S415" s="13" t="str">
        <f aca="false">IF(A415="","",SUMIFS(Sesiones!$F:$F,Sesiones!$C:$C,A415,Sesiones!$G:$G,"USD")-SUMIFS(Pagos!$H:$H,Pagos!$D:$D,A415,Pagos!$I:$I,"USD"))</f>
        <v/>
      </c>
      <c r="T415" s="12" t="str">
        <f aca="false">IF(A415="","",SUMIFS(Pagos!$H:$H,Pagos!$D:$D,A415,Pagos!$I:$I,"ARS"))</f>
        <v/>
      </c>
      <c r="U415" s="13" t="str">
        <f aca="false">IF(A415="","",SUMIFS(Pagos!$H:$H,Pagos!$D:$D,A415,Pagos!$I:$I,"USD"))</f>
        <v/>
      </c>
    </row>
    <row r="416" customFormat="false" ht="15" hidden="false" customHeight="false" outlineLevel="0" collapsed="false">
      <c r="A416" s="6"/>
      <c r="B416" s="6"/>
      <c r="C416" s="6"/>
      <c r="D416" s="7"/>
      <c r="E416" s="7"/>
      <c r="F416" s="6"/>
      <c r="G416" s="7"/>
      <c r="H416" s="6"/>
      <c r="I416" s="6"/>
      <c r="J416" s="6"/>
      <c r="K416" s="9"/>
      <c r="L416" s="6"/>
      <c r="M416" s="6"/>
      <c r="N416" s="10"/>
      <c r="O416" s="6"/>
      <c r="P416" s="6"/>
      <c r="Q416" s="11" t="str">
        <f aca="false">IF(A416="","",TRIM(B416&amp;" "&amp;C416))</f>
        <v/>
      </c>
      <c r="R416" s="12" t="str">
        <f aca="false">IF(A416="","",SUMIFS(Sesiones!$F:$F,Sesiones!$C:$C,A416,Sesiones!$G:$G,"ARS")-SUMIFS(Pagos!$H:$H,Pagos!$D:$D,A416,Pagos!$I:$I,"ARS"))</f>
        <v/>
      </c>
      <c r="S416" s="13" t="str">
        <f aca="false">IF(A416="","",SUMIFS(Sesiones!$F:$F,Sesiones!$C:$C,A416,Sesiones!$G:$G,"USD")-SUMIFS(Pagos!$H:$H,Pagos!$D:$D,A416,Pagos!$I:$I,"USD"))</f>
        <v/>
      </c>
      <c r="T416" s="12" t="str">
        <f aca="false">IF(A416="","",SUMIFS(Pagos!$H:$H,Pagos!$D:$D,A416,Pagos!$I:$I,"ARS"))</f>
        <v/>
      </c>
      <c r="U416" s="13" t="str">
        <f aca="false">IF(A416="","",SUMIFS(Pagos!$H:$H,Pagos!$D:$D,A416,Pagos!$I:$I,"USD"))</f>
        <v/>
      </c>
    </row>
    <row r="417" customFormat="false" ht="15" hidden="false" customHeight="false" outlineLevel="0" collapsed="false">
      <c r="A417" s="6"/>
      <c r="B417" s="6"/>
      <c r="C417" s="6"/>
      <c r="D417" s="7"/>
      <c r="E417" s="7"/>
      <c r="F417" s="6"/>
      <c r="G417" s="7"/>
      <c r="H417" s="6"/>
      <c r="I417" s="6"/>
      <c r="J417" s="6"/>
      <c r="K417" s="9"/>
      <c r="L417" s="6"/>
      <c r="M417" s="6"/>
      <c r="N417" s="10"/>
      <c r="O417" s="6"/>
      <c r="P417" s="6"/>
      <c r="Q417" s="11" t="str">
        <f aca="false">IF(A417="","",TRIM(B417&amp;" "&amp;C417))</f>
        <v/>
      </c>
      <c r="R417" s="12" t="str">
        <f aca="false">IF(A417="","",SUMIFS(Sesiones!$F:$F,Sesiones!$C:$C,A417,Sesiones!$G:$G,"ARS")-SUMIFS(Pagos!$H:$H,Pagos!$D:$D,A417,Pagos!$I:$I,"ARS"))</f>
        <v/>
      </c>
      <c r="S417" s="13" t="str">
        <f aca="false">IF(A417="","",SUMIFS(Sesiones!$F:$F,Sesiones!$C:$C,A417,Sesiones!$G:$G,"USD")-SUMIFS(Pagos!$H:$H,Pagos!$D:$D,A417,Pagos!$I:$I,"USD"))</f>
        <v/>
      </c>
      <c r="T417" s="12" t="str">
        <f aca="false">IF(A417="","",SUMIFS(Pagos!$H:$H,Pagos!$D:$D,A417,Pagos!$I:$I,"ARS"))</f>
        <v/>
      </c>
      <c r="U417" s="13" t="str">
        <f aca="false">IF(A417="","",SUMIFS(Pagos!$H:$H,Pagos!$D:$D,A417,Pagos!$I:$I,"USD"))</f>
        <v/>
      </c>
    </row>
    <row r="418" customFormat="false" ht="15" hidden="false" customHeight="false" outlineLevel="0" collapsed="false">
      <c r="A418" s="6"/>
      <c r="B418" s="6"/>
      <c r="C418" s="6"/>
      <c r="D418" s="7"/>
      <c r="E418" s="7"/>
      <c r="F418" s="6"/>
      <c r="G418" s="7"/>
      <c r="H418" s="6"/>
      <c r="I418" s="6"/>
      <c r="J418" s="6"/>
      <c r="K418" s="9"/>
      <c r="L418" s="6"/>
      <c r="M418" s="6"/>
      <c r="N418" s="10"/>
      <c r="O418" s="6"/>
      <c r="P418" s="6"/>
      <c r="Q418" s="11" t="str">
        <f aca="false">IF(A418="","",TRIM(B418&amp;" "&amp;C418))</f>
        <v/>
      </c>
      <c r="R418" s="12" t="str">
        <f aca="false">IF(A418="","",SUMIFS(Sesiones!$F:$F,Sesiones!$C:$C,A418,Sesiones!$G:$G,"ARS")-SUMIFS(Pagos!$H:$H,Pagos!$D:$D,A418,Pagos!$I:$I,"ARS"))</f>
        <v/>
      </c>
      <c r="S418" s="13" t="str">
        <f aca="false">IF(A418="","",SUMIFS(Sesiones!$F:$F,Sesiones!$C:$C,A418,Sesiones!$G:$G,"USD")-SUMIFS(Pagos!$H:$H,Pagos!$D:$D,A418,Pagos!$I:$I,"USD"))</f>
        <v/>
      </c>
      <c r="T418" s="12" t="str">
        <f aca="false">IF(A418="","",SUMIFS(Pagos!$H:$H,Pagos!$D:$D,A418,Pagos!$I:$I,"ARS"))</f>
        <v/>
      </c>
      <c r="U418" s="13" t="str">
        <f aca="false">IF(A418="","",SUMIFS(Pagos!$H:$H,Pagos!$D:$D,A418,Pagos!$I:$I,"USD"))</f>
        <v/>
      </c>
    </row>
    <row r="419" customFormat="false" ht="15" hidden="false" customHeight="false" outlineLevel="0" collapsed="false">
      <c r="A419" s="6"/>
      <c r="B419" s="6"/>
      <c r="C419" s="6"/>
      <c r="D419" s="7"/>
      <c r="E419" s="7"/>
      <c r="F419" s="6"/>
      <c r="G419" s="7"/>
      <c r="H419" s="6"/>
      <c r="I419" s="6"/>
      <c r="J419" s="6"/>
      <c r="K419" s="9"/>
      <c r="L419" s="6"/>
      <c r="M419" s="6"/>
      <c r="N419" s="10"/>
      <c r="O419" s="6"/>
      <c r="P419" s="6"/>
      <c r="Q419" s="11" t="str">
        <f aca="false">IF(A419="","",TRIM(B419&amp;" "&amp;C419))</f>
        <v/>
      </c>
      <c r="R419" s="12" t="str">
        <f aca="false">IF(A419="","",SUMIFS(Sesiones!$F:$F,Sesiones!$C:$C,A419,Sesiones!$G:$G,"ARS")-SUMIFS(Pagos!$H:$H,Pagos!$D:$D,A419,Pagos!$I:$I,"ARS"))</f>
        <v/>
      </c>
      <c r="S419" s="13" t="str">
        <f aca="false">IF(A419="","",SUMIFS(Sesiones!$F:$F,Sesiones!$C:$C,A419,Sesiones!$G:$G,"USD")-SUMIFS(Pagos!$H:$H,Pagos!$D:$D,A419,Pagos!$I:$I,"USD"))</f>
        <v/>
      </c>
      <c r="T419" s="12" t="str">
        <f aca="false">IF(A419="","",SUMIFS(Pagos!$H:$H,Pagos!$D:$D,A419,Pagos!$I:$I,"ARS"))</f>
        <v/>
      </c>
      <c r="U419" s="13" t="str">
        <f aca="false">IF(A419="","",SUMIFS(Pagos!$H:$H,Pagos!$D:$D,A419,Pagos!$I:$I,"USD"))</f>
        <v/>
      </c>
    </row>
    <row r="420" customFormat="false" ht="15" hidden="false" customHeight="false" outlineLevel="0" collapsed="false">
      <c r="A420" s="6"/>
      <c r="B420" s="6"/>
      <c r="C420" s="6"/>
      <c r="D420" s="7"/>
      <c r="E420" s="7"/>
      <c r="F420" s="6"/>
      <c r="G420" s="7"/>
      <c r="H420" s="6"/>
      <c r="I420" s="6"/>
      <c r="J420" s="6"/>
      <c r="K420" s="9"/>
      <c r="L420" s="6"/>
      <c r="M420" s="6"/>
      <c r="N420" s="10"/>
      <c r="O420" s="6"/>
      <c r="P420" s="6"/>
      <c r="Q420" s="11" t="str">
        <f aca="false">IF(A420="","",TRIM(B420&amp;" "&amp;C420))</f>
        <v/>
      </c>
      <c r="R420" s="12" t="str">
        <f aca="false">IF(A420="","",SUMIFS(Sesiones!$F:$F,Sesiones!$C:$C,A420,Sesiones!$G:$G,"ARS")-SUMIFS(Pagos!$H:$H,Pagos!$D:$D,A420,Pagos!$I:$I,"ARS"))</f>
        <v/>
      </c>
      <c r="S420" s="13" t="str">
        <f aca="false">IF(A420="","",SUMIFS(Sesiones!$F:$F,Sesiones!$C:$C,A420,Sesiones!$G:$G,"USD")-SUMIFS(Pagos!$H:$H,Pagos!$D:$D,A420,Pagos!$I:$I,"USD"))</f>
        <v/>
      </c>
      <c r="T420" s="12" t="str">
        <f aca="false">IF(A420="","",SUMIFS(Pagos!$H:$H,Pagos!$D:$D,A420,Pagos!$I:$I,"ARS"))</f>
        <v/>
      </c>
      <c r="U420" s="13" t="str">
        <f aca="false">IF(A420="","",SUMIFS(Pagos!$H:$H,Pagos!$D:$D,A420,Pagos!$I:$I,"USD"))</f>
        <v/>
      </c>
    </row>
    <row r="421" customFormat="false" ht="15" hidden="false" customHeight="false" outlineLevel="0" collapsed="false">
      <c r="A421" s="6"/>
      <c r="B421" s="6"/>
      <c r="C421" s="6"/>
      <c r="D421" s="7"/>
      <c r="E421" s="7"/>
      <c r="F421" s="6"/>
      <c r="G421" s="7"/>
      <c r="H421" s="6"/>
      <c r="I421" s="6"/>
      <c r="J421" s="6"/>
      <c r="K421" s="9"/>
      <c r="L421" s="6"/>
      <c r="M421" s="6"/>
      <c r="N421" s="10"/>
      <c r="O421" s="6"/>
      <c r="P421" s="6"/>
      <c r="Q421" s="11" t="str">
        <f aca="false">IF(A421="","",TRIM(B421&amp;" "&amp;C421))</f>
        <v/>
      </c>
      <c r="R421" s="12" t="str">
        <f aca="false">IF(A421="","",SUMIFS(Sesiones!$F:$F,Sesiones!$C:$C,A421,Sesiones!$G:$G,"ARS")-SUMIFS(Pagos!$H:$H,Pagos!$D:$D,A421,Pagos!$I:$I,"ARS"))</f>
        <v/>
      </c>
      <c r="S421" s="13" t="str">
        <f aca="false">IF(A421="","",SUMIFS(Sesiones!$F:$F,Sesiones!$C:$C,A421,Sesiones!$G:$G,"USD")-SUMIFS(Pagos!$H:$H,Pagos!$D:$D,A421,Pagos!$I:$I,"USD"))</f>
        <v/>
      </c>
      <c r="T421" s="12" t="str">
        <f aca="false">IF(A421="","",SUMIFS(Pagos!$H:$H,Pagos!$D:$D,A421,Pagos!$I:$I,"ARS"))</f>
        <v/>
      </c>
      <c r="U421" s="13" t="str">
        <f aca="false">IF(A421="","",SUMIFS(Pagos!$H:$H,Pagos!$D:$D,A421,Pagos!$I:$I,"USD"))</f>
        <v/>
      </c>
    </row>
    <row r="422" customFormat="false" ht="15" hidden="false" customHeight="false" outlineLevel="0" collapsed="false">
      <c r="A422" s="6"/>
      <c r="B422" s="6"/>
      <c r="C422" s="6"/>
      <c r="D422" s="7"/>
      <c r="E422" s="7"/>
      <c r="F422" s="6"/>
      <c r="G422" s="7"/>
      <c r="H422" s="6"/>
      <c r="I422" s="6"/>
      <c r="J422" s="6"/>
      <c r="K422" s="9"/>
      <c r="L422" s="6"/>
      <c r="M422" s="6"/>
      <c r="N422" s="10"/>
      <c r="O422" s="6"/>
      <c r="P422" s="6"/>
      <c r="Q422" s="11" t="str">
        <f aca="false">IF(A422="","",TRIM(B422&amp;" "&amp;C422))</f>
        <v/>
      </c>
      <c r="R422" s="12" t="str">
        <f aca="false">IF(A422="","",SUMIFS(Sesiones!$F:$F,Sesiones!$C:$C,A422,Sesiones!$G:$G,"ARS")-SUMIFS(Pagos!$H:$H,Pagos!$D:$D,A422,Pagos!$I:$I,"ARS"))</f>
        <v/>
      </c>
      <c r="S422" s="13" t="str">
        <f aca="false">IF(A422="","",SUMIFS(Sesiones!$F:$F,Sesiones!$C:$C,A422,Sesiones!$G:$G,"USD")-SUMIFS(Pagos!$H:$H,Pagos!$D:$D,A422,Pagos!$I:$I,"USD"))</f>
        <v/>
      </c>
      <c r="T422" s="12" t="str">
        <f aca="false">IF(A422="","",SUMIFS(Pagos!$H:$H,Pagos!$D:$D,A422,Pagos!$I:$I,"ARS"))</f>
        <v/>
      </c>
      <c r="U422" s="13" t="str">
        <f aca="false">IF(A422="","",SUMIFS(Pagos!$H:$H,Pagos!$D:$D,A422,Pagos!$I:$I,"USD"))</f>
        <v/>
      </c>
    </row>
    <row r="423" customFormat="false" ht="15" hidden="false" customHeight="false" outlineLevel="0" collapsed="false">
      <c r="A423" s="6"/>
      <c r="B423" s="6"/>
      <c r="C423" s="6"/>
      <c r="D423" s="7"/>
      <c r="E423" s="7"/>
      <c r="F423" s="6"/>
      <c r="G423" s="7"/>
      <c r="H423" s="6"/>
      <c r="I423" s="6"/>
      <c r="J423" s="6"/>
      <c r="K423" s="9"/>
      <c r="L423" s="6"/>
      <c r="M423" s="6"/>
      <c r="N423" s="10"/>
      <c r="O423" s="6"/>
      <c r="P423" s="6"/>
      <c r="Q423" s="11" t="str">
        <f aca="false">IF(A423="","",TRIM(B423&amp;" "&amp;C423))</f>
        <v/>
      </c>
      <c r="R423" s="12" t="str">
        <f aca="false">IF(A423="","",SUMIFS(Sesiones!$F:$F,Sesiones!$C:$C,A423,Sesiones!$G:$G,"ARS")-SUMIFS(Pagos!$H:$H,Pagos!$D:$D,A423,Pagos!$I:$I,"ARS"))</f>
        <v/>
      </c>
      <c r="S423" s="13" t="str">
        <f aca="false">IF(A423="","",SUMIFS(Sesiones!$F:$F,Sesiones!$C:$C,A423,Sesiones!$G:$G,"USD")-SUMIFS(Pagos!$H:$H,Pagos!$D:$D,A423,Pagos!$I:$I,"USD"))</f>
        <v/>
      </c>
      <c r="T423" s="12" t="str">
        <f aca="false">IF(A423="","",SUMIFS(Pagos!$H:$H,Pagos!$D:$D,A423,Pagos!$I:$I,"ARS"))</f>
        <v/>
      </c>
      <c r="U423" s="13" t="str">
        <f aca="false">IF(A423="","",SUMIFS(Pagos!$H:$H,Pagos!$D:$D,A423,Pagos!$I:$I,"USD"))</f>
        <v/>
      </c>
    </row>
    <row r="424" customFormat="false" ht="15" hidden="false" customHeight="false" outlineLevel="0" collapsed="false">
      <c r="A424" s="6"/>
      <c r="B424" s="6"/>
      <c r="C424" s="6"/>
      <c r="D424" s="7"/>
      <c r="E424" s="7"/>
      <c r="F424" s="6"/>
      <c r="G424" s="7"/>
      <c r="H424" s="6"/>
      <c r="I424" s="6"/>
      <c r="J424" s="6"/>
      <c r="K424" s="9"/>
      <c r="L424" s="6"/>
      <c r="M424" s="6"/>
      <c r="N424" s="10"/>
      <c r="O424" s="6"/>
      <c r="P424" s="6"/>
      <c r="Q424" s="11" t="str">
        <f aca="false">IF(A424="","",TRIM(B424&amp;" "&amp;C424))</f>
        <v/>
      </c>
      <c r="R424" s="12" t="str">
        <f aca="false">IF(A424="","",SUMIFS(Sesiones!$F:$F,Sesiones!$C:$C,A424,Sesiones!$G:$G,"ARS")-SUMIFS(Pagos!$H:$H,Pagos!$D:$D,A424,Pagos!$I:$I,"ARS"))</f>
        <v/>
      </c>
      <c r="S424" s="13" t="str">
        <f aca="false">IF(A424="","",SUMIFS(Sesiones!$F:$F,Sesiones!$C:$C,A424,Sesiones!$G:$G,"USD")-SUMIFS(Pagos!$H:$H,Pagos!$D:$D,A424,Pagos!$I:$I,"USD"))</f>
        <v/>
      </c>
      <c r="T424" s="12" t="str">
        <f aca="false">IF(A424="","",SUMIFS(Pagos!$H:$H,Pagos!$D:$D,A424,Pagos!$I:$I,"ARS"))</f>
        <v/>
      </c>
      <c r="U424" s="13" t="str">
        <f aca="false">IF(A424="","",SUMIFS(Pagos!$H:$H,Pagos!$D:$D,A424,Pagos!$I:$I,"USD"))</f>
        <v/>
      </c>
    </row>
    <row r="425" customFormat="false" ht="15" hidden="false" customHeight="false" outlineLevel="0" collapsed="false">
      <c r="A425" s="6"/>
      <c r="B425" s="6"/>
      <c r="C425" s="6"/>
      <c r="D425" s="7"/>
      <c r="E425" s="7"/>
      <c r="F425" s="6"/>
      <c r="G425" s="7"/>
      <c r="H425" s="6"/>
      <c r="I425" s="6"/>
      <c r="J425" s="6"/>
      <c r="K425" s="9"/>
      <c r="L425" s="6"/>
      <c r="M425" s="6"/>
      <c r="N425" s="10"/>
      <c r="O425" s="6"/>
      <c r="P425" s="6"/>
      <c r="Q425" s="11" t="str">
        <f aca="false">IF(A425="","",TRIM(B425&amp;" "&amp;C425))</f>
        <v/>
      </c>
      <c r="R425" s="12" t="str">
        <f aca="false">IF(A425="","",SUMIFS(Sesiones!$F:$F,Sesiones!$C:$C,A425,Sesiones!$G:$G,"ARS")-SUMIFS(Pagos!$H:$H,Pagos!$D:$D,A425,Pagos!$I:$I,"ARS"))</f>
        <v/>
      </c>
      <c r="S425" s="13" t="str">
        <f aca="false">IF(A425="","",SUMIFS(Sesiones!$F:$F,Sesiones!$C:$C,A425,Sesiones!$G:$G,"USD")-SUMIFS(Pagos!$H:$H,Pagos!$D:$D,A425,Pagos!$I:$I,"USD"))</f>
        <v/>
      </c>
      <c r="T425" s="12" t="str">
        <f aca="false">IF(A425="","",SUMIFS(Pagos!$H:$H,Pagos!$D:$D,A425,Pagos!$I:$I,"ARS"))</f>
        <v/>
      </c>
      <c r="U425" s="13" t="str">
        <f aca="false">IF(A425="","",SUMIFS(Pagos!$H:$H,Pagos!$D:$D,A425,Pagos!$I:$I,"USD"))</f>
        <v/>
      </c>
    </row>
    <row r="426" customFormat="false" ht="15" hidden="false" customHeight="false" outlineLevel="0" collapsed="false">
      <c r="A426" s="6"/>
      <c r="B426" s="6"/>
      <c r="C426" s="6"/>
      <c r="D426" s="7"/>
      <c r="E426" s="7"/>
      <c r="F426" s="6"/>
      <c r="G426" s="7"/>
      <c r="H426" s="6"/>
      <c r="I426" s="6"/>
      <c r="J426" s="6"/>
      <c r="K426" s="9"/>
      <c r="L426" s="6"/>
      <c r="M426" s="6"/>
      <c r="N426" s="10"/>
      <c r="O426" s="6"/>
      <c r="P426" s="6"/>
      <c r="Q426" s="11" t="str">
        <f aca="false">IF(A426="","",TRIM(B426&amp;" "&amp;C426))</f>
        <v/>
      </c>
      <c r="R426" s="12" t="str">
        <f aca="false">IF(A426="","",SUMIFS(Sesiones!$F:$F,Sesiones!$C:$C,A426,Sesiones!$G:$G,"ARS")-SUMIFS(Pagos!$H:$H,Pagos!$D:$D,A426,Pagos!$I:$I,"ARS"))</f>
        <v/>
      </c>
      <c r="S426" s="13" t="str">
        <f aca="false">IF(A426="","",SUMIFS(Sesiones!$F:$F,Sesiones!$C:$C,A426,Sesiones!$G:$G,"USD")-SUMIFS(Pagos!$H:$H,Pagos!$D:$D,A426,Pagos!$I:$I,"USD"))</f>
        <v/>
      </c>
      <c r="T426" s="12" t="str">
        <f aca="false">IF(A426="","",SUMIFS(Pagos!$H:$H,Pagos!$D:$D,A426,Pagos!$I:$I,"ARS"))</f>
        <v/>
      </c>
      <c r="U426" s="13" t="str">
        <f aca="false">IF(A426="","",SUMIFS(Pagos!$H:$H,Pagos!$D:$D,A426,Pagos!$I:$I,"USD"))</f>
        <v/>
      </c>
    </row>
    <row r="427" customFormat="false" ht="15" hidden="false" customHeight="false" outlineLevel="0" collapsed="false">
      <c r="A427" s="6"/>
      <c r="B427" s="6"/>
      <c r="C427" s="6"/>
      <c r="D427" s="7"/>
      <c r="E427" s="7"/>
      <c r="F427" s="6"/>
      <c r="G427" s="7"/>
      <c r="H427" s="6"/>
      <c r="I427" s="6"/>
      <c r="J427" s="6"/>
      <c r="K427" s="9"/>
      <c r="L427" s="6"/>
      <c r="M427" s="6"/>
      <c r="N427" s="10"/>
      <c r="O427" s="6"/>
      <c r="P427" s="6"/>
      <c r="Q427" s="11" t="str">
        <f aca="false">IF(A427="","",TRIM(B427&amp;" "&amp;C427))</f>
        <v/>
      </c>
      <c r="R427" s="12" t="str">
        <f aca="false">IF(A427="","",SUMIFS(Sesiones!$F:$F,Sesiones!$C:$C,A427,Sesiones!$G:$G,"ARS")-SUMIFS(Pagos!$H:$H,Pagos!$D:$D,A427,Pagos!$I:$I,"ARS"))</f>
        <v/>
      </c>
      <c r="S427" s="13" t="str">
        <f aca="false">IF(A427="","",SUMIFS(Sesiones!$F:$F,Sesiones!$C:$C,A427,Sesiones!$G:$G,"USD")-SUMIFS(Pagos!$H:$H,Pagos!$D:$D,A427,Pagos!$I:$I,"USD"))</f>
        <v/>
      </c>
      <c r="T427" s="12" t="str">
        <f aca="false">IF(A427="","",SUMIFS(Pagos!$H:$H,Pagos!$D:$D,A427,Pagos!$I:$I,"ARS"))</f>
        <v/>
      </c>
      <c r="U427" s="13" t="str">
        <f aca="false">IF(A427="","",SUMIFS(Pagos!$H:$H,Pagos!$D:$D,A427,Pagos!$I:$I,"USD"))</f>
        <v/>
      </c>
    </row>
    <row r="428" customFormat="false" ht="15" hidden="false" customHeight="false" outlineLevel="0" collapsed="false">
      <c r="A428" s="6"/>
      <c r="B428" s="6"/>
      <c r="C428" s="6"/>
      <c r="D428" s="7"/>
      <c r="E428" s="7"/>
      <c r="F428" s="6"/>
      <c r="G428" s="7"/>
      <c r="H428" s="6"/>
      <c r="I428" s="6"/>
      <c r="J428" s="6"/>
      <c r="K428" s="9"/>
      <c r="L428" s="6"/>
      <c r="M428" s="6"/>
      <c r="N428" s="10"/>
      <c r="O428" s="6"/>
      <c r="P428" s="6"/>
      <c r="Q428" s="11" t="str">
        <f aca="false">IF(A428="","",TRIM(B428&amp;" "&amp;C428))</f>
        <v/>
      </c>
      <c r="R428" s="12" t="str">
        <f aca="false">IF(A428="","",SUMIFS(Sesiones!$F:$F,Sesiones!$C:$C,A428,Sesiones!$G:$G,"ARS")-SUMIFS(Pagos!$H:$H,Pagos!$D:$D,A428,Pagos!$I:$I,"ARS"))</f>
        <v/>
      </c>
      <c r="S428" s="13" t="str">
        <f aca="false">IF(A428="","",SUMIFS(Sesiones!$F:$F,Sesiones!$C:$C,A428,Sesiones!$G:$G,"USD")-SUMIFS(Pagos!$H:$H,Pagos!$D:$D,A428,Pagos!$I:$I,"USD"))</f>
        <v/>
      </c>
      <c r="T428" s="12" t="str">
        <f aca="false">IF(A428="","",SUMIFS(Pagos!$H:$H,Pagos!$D:$D,A428,Pagos!$I:$I,"ARS"))</f>
        <v/>
      </c>
      <c r="U428" s="13" t="str">
        <f aca="false">IF(A428="","",SUMIFS(Pagos!$H:$H,Pagos!$D:$D,A428,Pagos!$I:$I,"USD"))</f>
        <v/>
      </c>
    </row>
    <row r="429" customFormat="false" ht="15" hidden="false" customHeight="false" outlineLevel="0" collapsed="false">
      <c r="A429" s="6"/>
      <c r="B429" s="6"/>
      <c r="C429" s="6"/>
      <c r="D429" s="7"/>
      <c r="E429" s="7"/>
      <c r="F429" s="6"/>
      <c r="G429" s="7"/>
      <c r="H429" s="6"/>
      <c r="I429" s="6"/>
      <c r="J429" s="6"/>
      <c r="K429" s="9"/>
      <c r="L429" s="6"/>
      <c r="M429" s="6"/>
      <c r="N429" s="10"/>
      <c r="O429" s="6"/>
      <c r="P429" s="6"/>
      <c r="Q429" s="11" t="str">
        <f aca="false">IF(A429="","",TRIM(B429&amp;" "&amp;C429))</f>
        <v/>
      </c>
      <c r="R429" s="12" t="str">
        <f aca="false">IF(A429="","",SUMIFS(Sesiones!$F:$F,Sesiones!$C:$C,A429,Sesiones!$G:$G,"ARS")-SUMIFS(Pagos!$H:$H,Pagos!$D:$D,A429,Pagos!$I:$I,"ARS"))</f>
        <v/>
      </c>
      <c r="S429" s="13" t="str">
        <f aca="false">IF(A429="","",SUMIFS(Sesiones!$F:$F,Sesiones!$C:$C,A429,Sesiones!$G:$G,"USD")-SUMIFS(Pagos!$H:$H,Pagos!$D:$D,A429,Pagos!$I:$I,"USD"))</f>
        <v/>
      </c>
      <c r="T429" s="12" t="str">
        <f aca="false">IF(A429="","",SUMIFS(Pagos!$H:$H,Pagos!$D:$D,A429,Pagos!$I:$I,"ARS"))</f>
        <v/>
      </c>
      <c r="U429" s="13" t="str">
        <f aca="false">IF(A429="","",SUMIFS(Pagos!$H:$H,Pagos!$D:$D,A429,Pagos!$I:$I,"USD"))</f>
        <v/>
      </c>
    </row>
    <row r="430" customFormat="false" ht="15" hidden="false" customHeight="false" outlineLevel="0" collapsed="false">
      <c r="A430" s="6"/>
      <c r="B430" s="6"/>
      <c r="C430" s="6"/>
      <c r="D430" s="7"/>
      <c r="E430" s="7"/>
      <c r="F430" s="6"/>
      <c r="G430" s="7"/>
      <c r="H430" s="6"/>
      <c r="I430" s="6"/>
      <c r="J430" s="6"/>
      <c r="K430" s="9"/>
      <c r="L430" s="6"/>
      <c r="M430" s="6"/>
      <c r="N430" s="10"/>
      <c r="O430" s="6"/>
      <c r="P430" s="6"/>
      <c r="Q430" s="11" t="str">
        <f aca="false">IF(A430="","",TRIM(B430&amp;" "&amp;C430))</f>
        <v/>
      </c>
      <c r="R430" s="12" t="str">
        <f aca="false">IF(A430="","",SUMIFS(Sesiones!$F:$F,Sesiones!$C:$C,A430,Sesiones!$G:$G,"ARS")-SUMIFS(Pagos!$H:$H,Pagos!$D:$D,A430,Pagos!$I:$I,"ARS"))</f>
        <v/>
      </c>
      <c r="S430" s="13" t="str">
        <f aca="false">IF(A430="","",SUMIFS(Sesiones!$F:$F,Sesiones!$C:$C,A430,Sesiones!$G:$G,"USD")-SUMIFS(Pagos!$H:$H,Pagos!$D:$D,A430,Pagos!$I:$I,"USD"))</f>
        <v/>
      </c>
      <c r="T430" s="12" t="str">
        <f aca="false">IF(A430="","",SUMIFS(Pagos!$H:$H,Pagos!$D:$D,A430,Pagos!$I:$I,"ARS"))</f>
        <v/>
      </c>
      <c r="U430" s="13" t="str">
        <f aca="false">IF(A430="","",SUMIFS(Pagos!$H:$H,Pagos!$D:$D,A430,Pagos!$I:$I,"USD"))</f>
        <v/>
      </c>
    </row>
    <row r="431" customFormat="false" ht="15" hidden="false" customHeight="false" outlineLevel="0" collapsed="false">
      <c r="A431" s="6"/>
      <c r="B431" s="6"/>
      <c r="C431" s="6"/>
      <c r="D431" s="7"/>
      <c r="E431" s="7"/>
      <c r="F431" s="6"/>
      <c r="G431" s="7"/>
      <c r="H431" s="6"/>
      <c r="I431" s="6"/>
      <c r="J431" s="6"/>
      <c r="K431" s="9"/>
      <c r="L431" s="6"/>
      <c r="M431" s="6"/>
      <c r="N431" s="10"/>
      <c r="O431" s="6"/>
      <c r="P431" s="6"/>
      <c r="Q431" s="11" t="str">
        <f aca="false">IF(A431="","",TRIM(B431&amp;" "&amp;C431))</f>
        <v/>
      </c>
      <c r="R431" s="12" t="str">
        <f aca="false">IF(A431="","",SUMIFS(Sesiones!$F:$F,Sesiones!$C:$C,A431,Sesiones!$G:$G,"ARS")-SUMIFS(Pagos!$H:$H,Pagos!$D:$D,A431,Pagos!$I:$I,"ARS"))</f>
        <v/>
      </c>
      <c r="S431" s="13" t="str">
        <f aca="false">IF(A431="","",SUMIFS(Sesiones!$F:$F,Sesiones!$C:$C,A431,Sesiones!$G:$G,"USD")-SUMIFS(Pagos!$H:$H,Pagos!$D:$D,A431,Pagos!$I:$I,"USD"))</f>
        <v/>
      </c>
      <c r="T431" s="12" t="str">
        <f aca="false">IF(A431="","",SUMIFS(Pagos!$H:$H,Pagos!$D:$D,A431,Pagos!$I:$I,"ARS"))</f>
        <v/>
      </c>
      <c r="U431" s="13" t="str">
        <f aca="false">IF(A431="","",SUMIFS(Pagos!$H:$H,Pagos!$D:$D,A431,Pagos!$I:$I,"USD"))</f>
        <v/>
      </c>
    </row>
    <row r="432" customFormat="false" ht="15" hidden="false" customHeight="false" outlineLevel="0" collapsed="false">
      <c r="A432" s="6"/>
      <c r="B432" s="6"/>
      <c r="C432" s="6"/>
      <c r="D432" s="7"/>
      <c r="E432" s="7"/>
      <c r="F432" s="6"/>
      <c r="G432" s="7"/>
      <c r="H432" s="6"/>
      <c r="I432" s="6"/>
      <c r="J432" s="6"/>
      <c r="K432" s="9"/>
      <c r="L432" s="6"/>
      <c r="M432" s="6"/>
      <c r="N432" s="10"/>
      <c r="O432" s="6"/>
      <c r="P432" s="6"/>
      <c r="Q432" s="11" t="str">
        <f aca="false">IF(A432="","",TRIM(B432&amp;" "&amp;C432))</f>
        <v/>
      </c>
      <c r="R432" s="12" t="str">
        <f aca="false">IF(A432="","",SUMIFS(Sesiones!$F:$F,Sesiones!$C:$C,A432,Sesiones!$G:$G,"ARS")-SUMIFS(Pagos!$H:$H,Pagos!$D:$D,A432,Pagos!$I:$I,"ARS"))</f>
        <v/>
      </c>
      <c r="S432" s="13" t="str">
        <f aca="false">IF(A432="","",SUMIFS(Sesiones!$F:$F,Sesiones!$C:$C,A432,Sesiones!$G:$G,"USD")-SUMIFS(Pagos!$H:$H,Pagos!$D:$D,A432,Pagos!$I:$I,"USD"))</f>
        <v/>
      </c>
      <c r="T432" s="12" t="str">
        <f aca="false">IF(A432="","",SUMIFS(Pagos!$H:$H,Pagos!$D:$D,A432,Pagos!$I:$I,"ARS"))</f>
        <v/>
      </c>
      <c r="U432" s="13" t="str">
        <f aca="false">IF(A432="","",SUMIFS(Pagos!$H:$H,Pagos!$D:$D,A432,Pagos!$I:$I,"USD"))</f>
        <v/>
      </c>
    </row>
    <row r="433" customFormat="false" ht="15" hidden="false" customHeight="false" outlineLevel="0" collapsed="false">
      <c r="A433" s="6"/>
      <c r="B433" s="6"/>
      <c r="C433" s="6"/>
      <c r="D433" s="7"/>
      <c r="E433" s="7"/>
      <c r="F433" s="6"/>
      <c r="G433" s="7"/>
      <c r="H433" s="6"/>
      <c r="I433" s="6"/>
      <c r="J433" s="6"/>
      <c r="K433" s="9"/>
      <c r="L433" s="6"/>
      <c r="M433" s="6"/>
      <c r="N433" s="10"/>
      <c r="O433" s="6"/>
      <c r="P433" s="6"/>
      <c r="Q433" s="11" t="str">
        <f aca="false">IF(A433="","",TRIM(B433&amp;" "&amp;C433))</f>
        <v/>
      </c>
      <c r="R433" s="12" t="str">
        <f aca="false">IF(A433="","",SUMIFS(Sesiones!$F:$F,Sesiones!$C:$C,A433,Sesiones!$G:$G,"ARS")-SUMIFS(Pagos!$H:$H,Pagos!$D:$D,A433,Pagos!$I:$I,"ARS"))</f>
        <v/>
      </c>
      <c r="S433" s="13" t="str">
        <f aca="false">IF(A433="","",SUMIFS(Sesiones!$F:$F,Sesiones!$C:$C,A433,Sesiones!$G:$G,"USD")-SUMIFS(Pagos!$H:$H,Pagos!$D:$D,A433,Pagos!$I:$I,"USD"))</f>
        <v/>
      </c>
      <c r="T433" s="12" t="str">
        <f aca="false">IF(A433="","",SUMIFS(Pagos!$H:$H,Pagos!$D:$D,A433,Pagos!$I:$I,"ARS"))</f>
        <v/>
      </c>
      <c r="U433" s="13" t="str">
        <f aca="false">IF(A433="","",SUMIFS(Pagos!$H:$H,Pagos!$D:$D,A433,Pagos!$I:$I,"USD"))</f>
        <v/>
      </c>
    </row>
    <row r="434" customFormat="false" ht="15" hidden="false" customHeight="false" outlineLevel="0" collapsed="false">
      <c r="A434" s="6"/>
      <c r="B434" s="6"/>
      <c r="C434" s="6"/>
      <c r="D434" s="7"/>
      <c r="E434" s="7"/>
      <c r="F434" s="6"/>
      <c r="G434" s="7"/>
      <c r="H434" s="6"/>
      <c r="I434" s="6"/>
      <c r="J434" s="6"/>
      <c r="K434" s="9"/>
      <c r="L434" s="6"/>
      <c r="M434" s="6"/>
      <c r="N434" s="10"/>
      <c r="O434" s="6"/>
      <c r="P434" s="6"/>
      <c r="Q434" s="11" t="str">
        <f aca="false">IF(A434="","",TRIM(B434&amp;" "&amp;C434))</f>
        <v/>
      </c>
      <c r="R434" s="12" t="str">
        <f aca="false">IF(A434="","",SUMIFS(Sesiones!$F:$F,Sesiones!$C:$C,A434,Sesiones!$G:$G,"ARS")-SUMIFS(Pagos!$H:$H,Pagos!$D:$D,A434,Pagos!$I:$I,"ARS"))</f>
        <v/>
      </c>
      <c r="S434" s="13" t="str">
        <f aca="false">IF(A434="","",SUMIFS(Sesiones!$F:$F,Sesiones!$C:$C,A434,Sesiones!$G:$G,"USD")-SUMIFS(Pagos!$H:$H,Pagos!$D:$D,A434,Pagos!$I:$I,"USD"))</f>
        <v/>
      </c>
      <c r="T434" s="12" t="str">
        <f aca="false">IF(A434="","",SUMIFS(Pagos!$H:$H,Pagos!$D:$D,A434,Pagos!$I:$I,"ARS"))</f>
        <v/>
      </c>
      <c r="U434" s="13" t="str">
        <f aca="false">IF(A434="","",SUMIFS(Pagos!$H:$H,Pagos!$D:$D,A434,Pagos!$I:$I,"USD"))</f>
        <v/>
      </c>
    </row>
    <row r="435" customFormat="false" ht="15" hidden="false" customHeight="false" outlineLevel="0" collapsed="false">
      <c r="A435" s="6"/>
      <c r="B435" s="6"/>
      <c r="C435" s="6"/>
      <c r="D435" s="7"/>
      <c r="E435" s="7"/>
      <c r="F435" s="6"/>
      <c r="G435" s="7"/>
      <c r="H435" s="6"/>
      <c r="I435" s="6"/>
      <c r="J435" s="6"/>
      <c r="K435" s="9"/>
      <c r="L435" s="6"/>
      <c r="M435" s="6"/>
      <c r="N435" s="10"/>
      <c r="O435" s="6"/>
      <c r="P435" s="6"/>
      <c r="Q435" s="11" t="str">
        <f aca="false">IF(A435="","",TRIM(B435&amp;" "&amp;C435))</f>
        <v/>
      </c>
      <c r="R435" s="12" t="str">
        <f aca="false">IF(A435="","",SUMIFS(Sesiones!$F:$F,Sesiones!$C:$C,A435,Sesiones!$G:$G,"ARS")-SUMIFS(Pagos!$H:$H,Pagos!$D:$D,A435,Pagos!$I:$I,"ARS"))</f>
        <v/>
      </c>
      <c r="S435" s="13" t="str">
        <f aca="false">IF(A435="","",SUMIFS(Sesiones!$F:$F,Sesiones!$C:$C,A435,Sesiones!$G:$G,"USD")-SUMIFS(Pagos!$H:$H,Pagos!$D:$D,A435,Pagos!$I:$I,"USD"))</f>
        <v/>
      </c>
      <c r="T435" s="12" t="str">
        <f aca="false">IF(A435="","",SUMIFS(Pagos!$H:$H,Pagos!$D:$D,A435,Pagos!$I:$I,"ARS"))</f>
        <v/>
      </c>
      <c r="U435" s="13" t="str">
        <f aca="false">IF(A435="","",SUMIFS(Pagos!$H:$H,Pagos!$D:$D,A435,Pagos!$I:$I,"USD"))</f>
        <v/>
      </c>
    </row>
    <row r="436" customFormat="false" ht="15" hidden="false" customHeight="false" outlineLevel="0" collapsed="false">
      <c r="A436" s="6"/>
      <c r="B436" s="6"/>
      <c r="C436" s="6"/>
      <c r="D436" s="7"/>
      <c r="E436" s="7"/>
      <c r="F436" s="6"/>
      <c r="G436" s="7"/>
      <c r="H436" s="6"/>
      <c r="I436" s="6"/>
      <c r="J436" s="6"/>
      <c r="K436" s="9"/>
      <c r="L436" s="6"/>
      <c r="M436" s="6"/>
      <c r="N436" s="10"/>
      <c r="O436" s="6"/>
      <c r="P436" s="6"/>
      <c r="Q436" s="11" t="str">
        <f aca="false">IF(A436="","",TRIM(B436&amp;" "&amp;C436))</f>
        <v/>
      </c>
      <c r="R436" s="12" t="str">
        <f aca="false">IF(A436="","",SUMIFS(Sesiones!$F:$F,Sesiones!$C:$C,A436,Sesiones!$G:$G,"ARS")-SUMIFS(Pagos!$H:$H,Pagos!$D:$D,A436,Pagos!$I:$I,"ARS"))</f>
        <v/>
      </c>
      <c r="S436" s="13" t="str">
        <f aca="false">IF(A436="","",SUMIFS(Sesiones!$F:$F,Sesiones!$C:$C,A436,Sesiones!$G:$G,"USD")-SUMIFS(Pagos!$H:$H,Pagos!$D:$D,A436,Pagos!$I:$I,"USD"))</f>
        <v/>
      </c>
      <c r="T436" s="12" t="str">
        <f aca="false">IF(A436="","",SUMIFS(Pagos!$H:$H,Pagos!$D:$D,A436,Pagos!$I:$I,"ARS"))</f>
        <v/>
      </c>
      <c r="U436" s="13" t="str">
        <f aca="false">IF(A436="","",SUMIFS(Pagos!$H:$H,Pagos!$D:$D,A436,Pagos!$I:$I,"USD"))</f>
        <v/>
      </c>
    </row>
    <row r="437" customFormat="false" ht="15" hidden="false" customHeight="false" outlineLevel="0" collapsed="false">
      <c r="A437" s="6"/>
      <c r="B437" s="6"/>
      <c r="C437" s="6"/>
      <c r="D437" s="7"/>
      <c r="E437" s="7"/>
      <c r="F437" s="6"/>
      <c r="G437" s="7"/>
      <c r="H437" s="6"/>
      <c r="I437" s="6"/>
      <c r="J437" s="6"/>
      <c r="K437" s="9"/>
      <c r="L437" s="6"/>
      <c r="M437" s="6"/>
      <c r="N437" s="10"/>
      <c r="O437" s="6"/>
      <c r="P437" s="6"/>
      <c r="Q437" s="11" t="str">
        <f aca="false">IF(A437="","",TRIM(B437&amp;" "&amp;C437))</f>
        <v/>
      </c>
      <c r="R437" s="12" t="str">
        <f aca="false">IF(A437="","",SUMIFS(Sesiones!$F:$F,Sesiones!$C:$C,A437,Sesiones!$G:$G,"ARS")-SUMIFS(Pagos!$H:$H,Pagos!$D:$D,A437,Pagos!$I:$I,"ARS"))</f>
        <v/>
      </c>
      <c r="S437" s="13" t="str">
        <f aca="false">IF(A437="","",SUMIFS(Sesiones!$F:$F,Sesiones!$C:$C,A437,Sesiones!$G:$G,"USD")-SUMIFS(Pagos!$H:$H,Pagos!$D:$D,A437,Pagos!$I:$I,"USD"))</f>
        <v/>
      </c>
      <c r="T437" s="12" t="str">
        <f aca="false">IF(A437="","",SUMIFS(Pagos!$H:$H,Pagos!$D:$D,A437,Pagos!$I:$I,"ARS"))</f>
        <v/>
      </c>
      <c r="U437" s="13" t="str">
        <f aca="false">IF(A437="","",SUMIFS(Pagos!$H:$H,Pagos!$D:$D,A437,Pagos!$I:$I,"USD"))</f>
        <v/>
      </c>
    </row>
    <row r="438" customFormat="false" ht="15" hidden="false" customHeight="false" outlineLevel="0" collapsed="false">
      <c r="A438" s="6"/>
      <c r="B438" s="6"/>
      <c r="C438" s="6"/>
      <c r="D438" s="7"/>
      <c r="E438" s="7"/>
      <c r="F438" s="6"/>
      <c r="G438" s="7"/>
      <c r="H438" s="6"/>
      <c r="I438" s="6"/>
      <c r="J438" s="6"/>
      <c r="K438" s="9"/>
      <c r="L438" s="6"/>
      <c r="M438" s="6"/>
      <c r="N438" s="10"/>
      <c r="O438" s="6"/>
      <c r="P438" s="6"/>
      <c r="Q438" s="11" t="str">
        <f aca="false">IF(A438="","",TRIM(B438&amp;" "&amp;C438))</f>
        <v/>
      </c>
      <c r="R438" s="12" t="str">
        <f aca="false">IF(A438="","",SUMIFS(Sesiones!$F:$F,Sesiones!$C:$C,A438,Sesiones!$G:$G,"ARS")-SUMIFS(Pagos!$H:$H,Pagos!$D:$D,A438,Pagos!$I:$I,"ARS"))</f>
        <v/>
      </c>
      <c r="S438" s="13" t="str">
        <f aca="false">IF(A438="","",SUMIFS(Sesiones!$F:$F,Sesiones!$C:$C,A438,Sesiones!$G:$G,"USD")-SUMIFS(Pagos!$H:$H,Pagos!$D:$D,A438,Pagos!$I:$I,"USD"))</f>
        <v/>
      </c>
      <c r="T438" s="12" t="str">
        <f aca="false">IF(A438="","",SUMIFS(Pagos!$H:$H,Pagos!$D:$D,A438,Pagos!$I:$I,"ARS"))</f>
        <v/>
      </c>
      <c r="U438" s="13" t="str">
        <f aca="false">IF(A438="","",SUMIFS(Pagos!$H:$H,Pagos!$D:$D,A438,Pagos!$I:$I,"USD"))</f>
        <v/>
      </c>
    </row>
    <row r="439" customFormat="false" ht="15" hidden="false" customHeight="false" outlineLevel="0" collapsed="false">
      <c r="A439" s="6"/>
      <c r="B439" s="6"/>
      <c r="C439" s="6"/>
      <c r="D439" s="7"/>
      <c r="E439" s="7"/>
      <c r="F439" s="6"/>
      <c r="G439" s="7"/>
      <c r="H439" s="6"/>
      <c r="I439" s="6"/>
      <c r="J439" s="6"/>
      <c r="K439" s="9"/>
      <c r="L439" s="6"/>
      <c r="M439" s="6"/>
      <c r="N439" s="10"/>
      <c r="O439" s="6"/>
      <c r="P439" s="6"/>
      <c r="Q439" s="11" t="str">
        <f aca="false">IF(A439="","",TRIM(B439&amp;" "&amp;C439))</f>
        <v/>
      </c>
      <c r="R439" s="12" t="str">
        <f aca="false">IF(A439="","",SUMIFS(Sesiones!$F:$F,Sesiones!$C:$C,A439,Sesiones!$G:$G,"ARS")-SUMIFS(Pagos!$H:$H,Pagos!$D:$D,A439,Pagos!$I:$I,"ARS"))</f>
        <v/>
      </c>
      <c r="S439" s="13" t="str">
        <f aca="false">IF(A439="","",SUMIFS(Sesiones!$F:$F,Sesiones!$C:$C,A439,Sesiones!$G:$G,"USD")-SUMIFS(Pagos!$H:$H,Pagos!$D:$D,A439,Pagos!$I:$I,"USD"))</f>
        <v/>
      </c>
      <c r="T439" s="12" t="str">
        <f aca="false">IF(A439="","",SUMIFS(Pagos!$H:$H,Pagos!$D:$D,A439,Pagos!$I:$I,"ARS"))</f>
        <v/>
      </c>
      <c r="U439" s="13" t="str">
        <f aca="false">IF(A439="","",SUMIFS(Pagos!$H:$H,Pagos!$D:$D,A439,Pagos!$I:$I,"USD"))</f>
        <v/>
      </c>
    </row>
    <row r="440" customFormat="false" ht="15" hidden="false" customHeight="false" outlineLevel="0" collapsed="false">
      <c r="A440" s="6"/>
      <c r="B440" s="6"/>
      <c r="C440" s="6"/>
      <c r="D440" s="7"/>
      <c r="E440" s="7"/>
      <c r="F440" s="6"/>
      <c r="G440" s="7"/>
      <c r="H440" s="6"/>
      <c r="I440" s="6"/>
      <c r="J440" s="6"/>
      <c r="K440" s="9"/>
      <c r="L440" s="6"/>
      <c r="M440" s="6"/>
      <c r="N440" s="10"/>
      <c r="O440" s="6"/>
      <c r="P440" s="6"/>
      <c r="Q440" s="11" t="str">
        <f aca="false">IF(A440="","",TRIM(B440&amp;" "&amp;C440))</f>
        <v/>
      </c>
      <c r="R440" s="12" t="str">
        <f aca="false">IF(A440="","",SUMIFS(Sesiones!$F:$F,Sesiones!$C:$C,A440,Sesiones!$G:$G,"ARS")-SUMIFS(Pagos!$H:$H,Pagos!$D:$D,A440,Pagos!$I:$I,"ARS"))</f>
        <v/>
      </c>
      <c r="S440" s="13" t="str">
        <f aca="false">IF(A440="","",SUMIFS(Sesiones!$F:$F,Sesiones!$C:$C,A440,Sesiones!$G:$G,"USD")-SUMIFS(Pagos!$H:$H,Pagos!$D:$D,A440,Pagos!$I:$I,"USD"))</f>
        <v/>
      </c>
      <c r="T440" s="12" t="str">
        <f aca="false">IF(A440="","",SUMIFS(Pagos!$H:$H,Pagos!$D:$D,A440,Pagos!$I:$I,"ARS"))</f>
        <v/>
      </c>
      <c r="U440" s="13" t="str">
        <f aca="false">IF(A440="","",SUMIFS(Pagos!$H:$H,Pagos!$D:$D,A440,Pagos!$I:$I,"USD"))</f>
        <v/>
      </c>
    </row>
    <row r="441" customFormat="false" ht="15" hidden="false" customHeight="false" outlineLevel="0" collapsed="false">
      <c r="A441" s="6"/>
      <c r="B441" s="6"/>
      <c r="C441" s="6"/>
      <c r="D441" s="7"/>
      <c r="E441" s="7"/>
      <c r="F441" s="6"/>
      <c r="G441" s="7"/>
      <c r="H441" s="6"/>
      <c r="I441" s="6"/>
      <c r="J441" s="6"/>
      <c r="K441" s="9"/>
      <c r="L441" s="6"/>
      <c r="M441" s="6"/>
      <c r="N441" s="10"/>
      <c r="O441" s="6"/>
      <c r="P441" s="6"/>
      <c r="Q441" s="11" t="str">
        <f aca="false">IF(A441="","",TRIM(B441&amp;" "&amp;C441))</f>
        <v/>
      </c>
      <c r="R441" s="12" t="str">
        <f aca="false">IF(A441="","",SUMIFS(Sesiones!$F:$F,Sesiones!$C:$C,A441,Sesiones!$G:$G,"ARS")-SUMIFS(Pagos!$H:$H,Pagos!$D:$D,A441,Pagos!$I:$I,"ARS"))</f>
        <v/>
      </c>
      <c r="S441" s="13" t="str">
        <f aca="false">IF(A441="","",SUMIFS(Sesiones!$F:$F,Sesiones!$C:$C,A441,Sesiones!$G:$G,"USD")-SUMIFS(Pagos!$H:$H,Pagos!$D:$D,A441,Pagos!$I:$I,"USD"))</f>
        <v/>
      </c>
      <c r="T441" s="12" t="str">
        <f aca="false">IF(A441="","",SUMIFS(Pagos!$H:$H,Pagos!$D:$D,A441,Pagos!$I:$I,"ARS"))</f>
        <v/>
      </c>
      <c r="U441" s="13" t="str">
        <f aca="false">IF(A441="","",SUMIFS(Pagos!$H:$H,Pagos!$D:$D,A441,Pagos!$I:$I,"USD"))</f>
        <v/>
      </c>
    </row>
    <row r="442" customFormat="false" ht="15" hidden="false" customHeight="false" outlineLevel="0" collapsed="false">
      <c r="A442" s="6"/>
      <c r="B442" s="6"/>
      <c r="C442" s="6"/>
      <c r="D442" s="7"/>
      <c r="E442" s="7"/>
      <c r="F442" s="6"/>
      <c r="G442" s="7"/>
      <c r="H442" s="6"/>
      <c r="I442" s="6"/>
      <c r="J442" s="6"/>
      <c r="K442" s="9"/>
      <c r="L442" s="6"/>
      <c r="M442" s="6"/>
      <c r="N442" s="10"/>
      <c r="O442" s="6"/>
      <c r="P442" s="6"/>
      <c r="Q442" s="11" t="str">
        <f aca="false">IF(A442="","",TRIM(B442&amp;" "&amp;C442))</f>
        <v/>
      </c>
      <c r="R442" s="12" t="str">
        <f aca="false">IF(A442="","",SUMIFS(Sesiones!$F:$F,Sesiones!$C:$C,A442,Sesiones!$G:$G,"ARS")-SUMIFS(Pagos!$H:$H,Pagos!$D:$D,A442,Pagos!$I:$I,"ARS"))</f>
        <v/>
      </c>
      <c r="S442" s="13" t="str">
        <f aca="false">IF(A442="","",SUMIFS(Sesiones!$F:$F,Sesiones!$C:$C,A442,Sesiones!$G:$G,"USD")-SUMIFS(Pagos!$H:$H,Pagos!$D:$D,A442,Pagos!$I:$I,"USD"))</f>
        <v/>
      </c>
      <c r="T442" s="12" t="str">
        <f aca="false">IF(A442="","",SUMIFS(Pagos!$H:$H,Pagos!$D:$D,A442,Pagos!$I:$I,"ARS"))</f>
        <v/>
      </c>
      <c r="U442" s="13" t="str">
        <f aca="false">IF(A442="","",SUMIFS(Pagos!$H:$H,Pagos!$D:$D,A442,Pagos!$I:$I,"USD"))</f>
        <v/>
      </c>
    </row>
    <row r="443" customFormat="false" ht="15" hidden="false" customHeight="false" outlineLevel="0" collapsed="false">
      <c r="A443" s="6"/>
      <c r="B443" s="6"/>
      <c r="C443" s="6"/>
      <c r="D443" s="7"/>
      <c r="E443" s="7"/>
      <c r="F443" s="6"/>
      <c r="G443" s="7"/>
      <c r="H443" s="6"/>
      <c r="I443" s="6"/>
      <c r="J443" s="6"/>
      <c r="K443" s="9"/>
      <c r="L443" s="6"/>
      <c r="M443" s="6"/>
      <c r="N443" s="10"/>
      <c r="O443" s="6"/>
      <c r="P443" s="6"/>
      <c r="Q443" s="11" t="str">
        <f aca="false">IF(A443="","",TRIM(B443&amp;" "&amp;C443))</f>
        <v/>
      </c>
      <c r="R443" s="12" t="str">
        <f aca="false">IF(A443="","",SUMIFS(Sesiones!$F:$F,Sesiones!$C:$C,A443,Sesiones!$G:$G,"ARS")-SUMIFS(Pagos!$H:$H,Pagos!$D:$D,A443,Pagos!$I:$I,"ARS"))</f>
        <v/>
      </c>
      <c r="S443" s="13" t="str">
        <f aca="false">IF(A443="","",SUMIFS(Sesiones!$F:$F,Sesiones!$C:$C,A443,Sesiones!$G:$G,"USD")-SUMIFS(Pagos!$H:$H,Pagos!$D:$D,A443,Pagos!$I:$I,"USD"))</f>
        <v/>
      </c>
      <c r="T443" s="12" t="str">
        <f aca="false">IF(A443="","",SUMIFS(Pagos!$H:$H,Pagos!$D:$D,A443,Pagos!$I:$I,"ARS"))</f>
        <v/>
      </c>
      <c r="U443" s="13" t="str">
        <f aca="false">IF(A443="","",SUMIFS(Pagos!$H:$H,Pagos!$D:$D,A443,Pagos!$I:$I,"USD"))</f>
        <v/>
      </c>
    </row>
    <row r="444" customFormat="false" ht="15" hidden="false" customHeight="false" outlineLevel="0" collapsed="false">
      <c r="A444" s="6"/>
      <c r="B444" s="6"/>
      <c r="C444" s="6"/>
      <c r="D444" s="7"/>
      <c r="E444" s="7"/>
      <c r="F444" s="6"/>
      <c r="G444" s="7"/>
      <c r="H444" s="6"/>
      <c r="I444" s="6"/>
      <c r="J444" s="6"/>
      <c r="K444" s="9"/>
      <c r="L444" s="6"/>
      <c r="M444" s="6"/>
      <c r="N444" s="10"/>
      <c r="O444" s="6"/>
      <c r="P444" s="6"/>
      <c r="Q444" s="11" t="str">
        <f aca="false">IF(A444="","",TRIM(B444&amp;" "&amp;C444))</f>
        <v/>
      </c>
      <c r="R444" s="12" t="str">
        <f aca="false">IF(A444="","",SUMIFS(Sesiones!$F:$F,Sesiones!$C:$C,A444,Sesiones!$G:$G,"ARS")-SUMIFS(Pagos!$H:$H,Pagos!$D:$D,A444,Pagos!$I:$I,"ARS"))</f>
        <v/>
      </c>
      <c r="S444" s="13" t="str">
        <f aca="false">IF(A444="","",SUMIFS(Sesiones!$F:$F,Sesiones!$C:$C,A444,Sesiones!$G:$G,"USD")-SUMIFS(Pagos!$H:$H,Pagos!$D:$D,A444,Pagos!$I:$I,"USD"))</f>
        <v/>
      </c>
      <c r="T444" s="12" t="str">
        <f aca="false">IF(A444="","",SUMIFS(Pagos!$H:$H,Pagos!$D:$D,A444,Pagos!$I:$I,"ARS"))</f>
        <v/>
      </c>
      <c r="U444" s="13" t="str">
        <f aca="false">IF(A444="","",SUMIFS(Pagos!$H:$H,Pagos!$D:$D,A444,Pagos!$I:$I,"USD"))</f>
        <v/>
      </c>
    </row>
    <row r="445" customFormat="false" ht="15" hidden="false" customHeight="false" outlineLevel="0" collapsed="false">
      <c r="A445" s="6"/>
      <c r="B445" s="6"/>
      <c r="C445" s="6"/>
      <c r="D445" s="7"/>
      <c r="E445" s="7"/>
      <c r="F445" s="6"/>
      <c r="G445" s="7"/>
      <c r="H445" s="6"/>
      <c r="I445" s="6"/>
      <c r="J445" s="6"/>
      <c r="K445" s="9"/>
      <c r="L445" s="6"/>
      <c r="M445" s="6"/>
      <c r="N445" s="10"/>
      <c r="O445" s="6"/>
      <c r="P445" s="6"/>
      <c r="Q445" s="11" t="str">
        <f aca="false">IF(A445="","",TRIM(B445&amp;" "&amp;C445))</f>
        <v/>
      </c>
      <c r="R445" s="12" t="str">
        <f aca="false">IF(A445="","",SUMIFS(Sesiones!$F:$F,Sesiones!$C:$C,A445,Sesiones!$G:$G,"ARS")-SUMIFS(Pagos!$H:$H,Pagos!$D:$D,A445,Pagos!$I:$I,"ARS"))</f>
        <v/>
      </c>
      <c r="S445" s="13" t="str">
        <f aca="false">IF(A445="","",SUMIFS(Sesiones!$F:$F,Sesiones!$C:$C,A445,Sesiones!$G:$G,"USD")-SUMIFS(Pagos!$H:$H,Pagos!$D:$D,A445,Pagos!$I:$I,"USD"))</f>
        <v/>
      </c>
      <c r="T445" s="12" t="str">
        <f aca="false">IF(A445="","",SUMIFS(Pagos!$H:$H,Pagos!$D:$D,A445,Pagos!$I:$I,"ARS"))</f>
        <v/>
      </c>
      <c r="U445" s="13" t="str">
        <f aca="false">IF(A445="","",SUMIFS(Pagos!$H:$H,Pagos!$D:$D,A445,Pagos!$I:$I,"USD"))</f>
        <v/>
      </c>
    </row>
    <row r="446" customFormat="false" ht="15" hidden="false" customHeight="false" outlineLevel="0" collapsed="false">
      <c r="A446" s="6"/>
      <c r="B446" s="6"/>
      <c r="C446" s="6"/>
      <c r="D446" s="7"/>
      <c r="E446" s="7"/>
      <c r="F446" s="6"/>
      <c r="G446" s="7"/>
      <c r="H446" s="6"/>
      <c r="I446" s="6"/>
      <c r="J446" s="6"/>
      <c r="K446" s="9"/>
      <c r="L446" s="6"/>
      <c r="M446" s="6"/>
      <c r="N446" s="10"/>
      <c r="O446" s="6"/>
      <c r="P446" s="6"/>
      <c r="Q446" s="11" t="str">
        <f aca="false">IF(A446="","",TRIM(B446&amp;" "&amp;C446))</f>
        <v/>
      </c>
      <c r="R446" s="12" t="str">
        <f aca="false">IF(A446="","",SUMIFS(Sesiones!$F:$F,Sesiones!$C:$C,A446,Sesiones!$G:$G,"ARS")-SUMIFS(Pagos!$H:$H,Pagos!$D:$D,A446,Pagos!$I:$I,"ARS"))</f>
        <v/>
      </c>
      <c r="S446" s="13" t="str">
        <f aca="false">IF(A446="","",SUMIFS(Sesiones!$F:$F,Sesiones!$C:$C,A446,Sesiones!$G:$G,"USD")-SUMIFS(Pagos!$H:$H,Pagos!$D:$D,A446,Pagos!$I:$I,"USD"))</f>
        <v/>
      </c>
      <c r="T446" s="12" t="str">
        <f aca="false">IF(A446="","",SUMIFS(Pagos!$H:$H,Pagos!$D:$D,A446,Pagos!$I:$I,"ARS"))</f>
        <v/>
      </c>
      <c r="U446" s="13" t="str">
        <f aca="false">IF(A446="","",SUMIFS(Pagos!$H:$H,Pagos!$D:$D,A446,Pagos!$I:$I,"USD"))</f>
        <v/>
      </c>
    </row>
    <row r="447" customFormat="false" ht="15" hidden="false" customHeight="false" outlineLevel="0" collapsed="false">
      <c r="A447" s="6"/>
      <c r="B447" s="6"/>
      <c r="C447" s="6"/>
      <c r="D447" s="7"/>
      <c r="E447" s="7"/>
      <c r="F447" s="6"/>
      <c r="G447" s="7"/>
      <c r="H447" s="6"/>
      <c r="I447" s="6"/>
      <c r="J447" s="6"/>
      <c r="K447" s="9"/>
      <c r="L447" s="6"/>
      <c r="M447" s="6"/>
      <c r="N447" s="10"/>
      <c r="O447" s="6"/>
      <c r="P447" s="6"/>
      <c r="Q447" s="11" t="str">
        <f aca="false">IF(A447="","",TRIM(B447&amp;" "&amp;C447))</f>
        <v/>
      </c>
      <c r="R447" s="12" t="str">
        <f aca="false">IF(A447="","",SUMIFS(Sesiones!$F:$F,Sesiones!$C:$C,A447,Sesiones!$G:$G,"ARS")-SUMIFS(Pagos!$H:$H,Pagos!$D:$D,A447,Pagos!$I:$I,"ARS"))</f>
        <v/>
      </c>
      <c r="S447" s="13" t="str">
        <f aca="false">IF(A447="","",SUMIFS(Sesiones!$F:$F,Sesiones!$C:$C,A447,Sesiones!$G:$G,"USD")-SUMIFS(Pagos!$H:$H,Pagos!$D:$D,A447,Pagos!$I:$I,"USD"))</f>
        <v/>
      </c>
      <c r="T447" s="12" t="str">
        <f aca="false">IF(A447="","",SUMIFS(Pagos!$H:$H,Pagos!$D:$D,A447,Pagos!$I:$I,"ARS"))</f>
        <v/>
      </c>
      <c r="U447" s="13" t="str">
        <f aca="false">IF(A447="","",SUMIFS(Pagos!$H:$H,Pagos!$D:$D,A447,Pagos!$I:$I,"USD"))</f>
        <v/>
      </c>
    </row>
    <row r="448" customFormat="false" ht="15" hidden="false" customHeight="false" outlineLevel="0" collapsed="false">
      <c r="A448" s="6"/>
      <c r="B448" s="6"/>
      <c r="C448" s="6"/>
      <c r="D448" s="7"/>
      <c r="E448" s="7"/>
      <c r="F448" s="6"/>
      <c r="G448" s="7"/>
      <c r="H448" s="6"/>
      <c r="I448" s="6"/>
      <c r="J448" s="6"/>
      <c r="K448" s="9"/>
      <c r="L448" s="6"/>
      <c r="M448" s="6"/>
      <c r="N448" s="10"/>
      <c r="O448" s="6"/>
      <c r="P448" s="6"/>
      <c r="Q448" s="11" t="str">
        <f aca="false">IF(A448="","",TRIM(B448&amp;" "&amp;C448))</f>
        <v/>
      </c>
      <c r="R448" s="12" t="str">
        <f aca="false">IF(A448="","",SUMIFS(Sesiones!$F:$F,Sesiones!$C:$C,A448,Sesiones!$G:$G,"ARS")-SUMIFS(Pagos!$H:$H,Pagos!$D:$D,A448,Pagos!$I:$I,"ARS"))</f>
        <v/>
      </c>
      <c r="S448" s="13" t="str">
        <f aca="false">IF(A448="","",SUMIFS(Sesiones!$F:$F,Sesiones!$C:$C,A448,Sesiones!$G:$G,"USD")-SUMIFS(Pagos!$H:$H,Pagos!$D:$D,A448,Pagos!$I:$I,"USD"))</f>
        <v/>
      </c>
      <c r="T448" s="12" t="str">
        <f aca="false">IF(A448="","",SUMIFS(Pagos!$H:$H,Pagos!$D:$D,A448,Pagos!$I:$I,"ARS"))</f>
        <v/>
      </c>
      <c r="U448" s="13" t="str">
        <f aca="false">IF(A448="","",SUMIFS(Pagos!$H:$H,Pagos!$D:$D,A448,Pagos!$I:$I,"USD"))</f>
        <v/>
      </c>
    </row>
    <row r="449" customFormat="false" ht="15" hidden="false" customHeight="false" outlineLevel="0" collapsed="false">
      <c r="A449" s="6"/>
      <c r="B449" s="6"/>
      <c r="C449" s="6"/>
      <c r="D449" s="7"/>
      <c r="E449" s="7"/>
      <c r="F449" s="6"/>
      <c r="G449" s="7"/>
      <c r="H449" s="6"/>
      <c r="I449" s="6"/>
      <c r="J449" s="6"/>
      <c r="K449" s="9"/>
      <c r="L449" s="6"/>
      <c r="M449" s="6"/>
      <c r="N449" s="10"/>
      <c r="O449" s="6"/>
      <c r="P449" s="6"/>
      <c r="Q449" s="11" t="str">
        <f aca="false">IF(A449="","",TRIM(B449&amp;" "&amp;C449))</f>
        <v/>
      </c>
      <c r="R449" s="12" t="str">
        <f aca="false">IF(A449="","",SUMIFS(Sesiones!$F:$F,Sesiones!$C:$C,A449,Sesiones!$G:$G,"ARS")-SUMIFS(Pagos!$H:$H,Pagos!$D:$D,A449,Pagos!$I:$I,"ARS"))</f>
        <v/>
      </c>
      <c r="S449" s="13" t="str">
        <f aca="false">IF(A449="","",SUMIFS(Sesiones!$F:$F,Sesiones!$C:$C,A449,Sesiones!$G:$G,"USD")-SUMIFS(Pagos!$H:$H,Pagos!$D:$D,A449,Pagos!$I:$I,"USD"))</f>
        <v/>
      </c>
      <c r="T449" s="12" t="str">
        <f aca="false">IF(A449="","",SUMIFS(Pagos!$H:$H,Pagos!$D:$D,A449,Pagos!$I:$I,"ARS"))</f>
        <v/>
      </c>
      <c r="U449" s="13" t="str">
        <f aca="false">IF(A449="","",SUMIFS(Pagos!$H:$H,Pagos!$D:$D,A449,Pagos!$I:$I,"USD"))</f>
        <v/>
      </c>
    </row>
    <row r="450" customFormat="false" ht="15" hidden="false" customHeight="false" outlineLevel="0" collapsed="false">
      <c r="A450" s="6"/>
      <c r="B450" s="6"/>
      <c r="C450" s="6"/>
      <c r="D450" s="7"/>
      <c r="E450" s="7"/>
      <c r="F450" s="6"/>
      <c r="G450" s="7"/>
      <c r="H450" s="6"/>
      <c r="I450" s="6"/>
      <c r="J450" s="6"/>
      <c r="K450" s="9"/>
      <c r="L450" s="6"/>
      <c r="M450" s="6"/>
      <c r="N450" s="10"/>
      <c r="O450" s="6"/>
      <c r="P450" s="6"/>
      <c r="Q450" s="11" t="str">
        <f aca="false">IF(A450="","",TRIM(B450&amp;" "&amp;C450))</f>
        <v/>
      </c>
      <c r="R450" s="12" t="str">
        <f aca="false">IF(A450="","",SUMIFS(Sesiones!$F:$F,Sesiones!$C:$C,A450,Sesiones!$G:$G,"ARS")-SUMIFS(Pagos!$H:$H,Pagos!$D:$D,A450,Pagos!$I:$I,"ARS"))</f>
        <v/>
      </c>
      <c r="S450" s="13" t="str">
        <f aca="false">IF(A450="","",SUMIFS(Sesiones!$F:$F,Sesiones!$C:$C,A450,Sesiones!$G:$G,"USD")-SUMIFS(Pagos!$H:$H,Pagos!$D:$D,A450,Pagos!$I:$I,"USD"))</f>
        <v/>
      </c>
      <c r="T450" s="12" t="str">
        <f aca="false">IF(A450="","",SUMIFS(Pagos!$H:$H,Pagos!$D:$D,A450,Pagos!$I:$I,"ARS"))</f>
        <v/>
      </c>
      <c r="U450" s="13" t="str">
        <f aca="false">IF(A450="","",SUMIFS(Pagos!$H:$H,Pagos!$D:$D,A450,Pagos!$I:$I,"USD"))</f>
        <v/>
      </c>
    </row>
    <row r="451" customFormat="false" ht="15" hidden="false" customHeight="false" outlineLevel="0" collapsed="false">
      <c r="A451" s="6"/>
      <c r="B451" s="6"/>
      <c r="C451" s="6"/>
      <c r="D451" s="7"/>
      <c r="E451" s="7"/>
      <c r="F451" s="6"/>
      <c r="G451" s="7"/>
      <c r="H451" s="6"/>
      <c r="I451" s="6"/>
      <c r="J451" s="6"/>
      <c r="K451" s="9"/>
      <c r="L451" s="6"/>
      <c r="M451" s="6"/>
      <c r="N451" s="10"/>
      <c r="O451" s="6"/>
      <c r="P451" s="6"/>
      <c r="Q451" s="11" t="str">
        <f aca="false">IF(A451="","",TRIM(B451&amp;" "&amp;C451))</f>
        <v/>
      </c>
      <c r="R451" s="12" t="str">
        <f aca="false">IF(A451="","",SUMIFS(Sesiones!$F:$F,Sesiones!$C:$C,A451,Sesiones!$G:$G,"ARS")-SUMIFS(Pagos!$H:$H,Pagos!$D:$D,A451,Pagos!$I:$I,"ARS"))</f>
        <v/>
      </c>
      <c r="S451" s="13" t="str">
        <f aca="false">IF(A451="","",SUMIFS(Sesiones!$F:$F,Sesiones!$C:$C,A451,Sesiones!$G:$G,"USD")-SUMIFS(Pagos!$H:$H,Pagos!$D:$D,A451,Pagos!$I:$I,"USD"))</f>
        <v/>
      </c>
      <c r="T451" s="12" t="str">
        <f aca="false">IF(A451="","",SUMIFS(Pagos!$H:$H,Pagos!$D:$D,A451,Pagos!$I:$I,"ARS"))</f>
        <v/>
      </c>
      <c r="U451" s="13" t="str">
        <f aca="false">IF(A451="","",SUMIFS(Pagos!$H:$H,Pagos!$D:$D,A451,Pagos!$I:$I,"USD"))</f>
        <v/>
      </c>
    </row>
    <row r="452" customFormat="false" ht="15" hidden="false" customHeight="false" outlineLevel="0" collapsed="false">
      <c r="A452" s="6"/>
      <c r="B452" s="6"/>
      <c r="C452" s="6"/>
      <c r="D452" s="7"/>
      <c r="E452" s="7"/>
      <c r="F452" s="6"/>
      <c r="G452" s="7"/>
      <c r="H452" s="6"/>
      <c r="I452" s="6"/>
      <c r="J452" s="6"/>
      <c r="K452" s="9"/>
      <c r="L452" s="6"/>
      <c r="M452" s="6"/>
      <c r="N452" s="10"/>
      <c r="O452" s="6"/>
      <c r="P452" s="6"/>
      <c r="Q452" s="11" t="str">
        <f aca="false">IF(A452="","",TRIM(B452&amp;" "&amp;C452))</f>
        <v/>
      </c>
      <c r="R452" s="12" t="str">
        <f aca="false">IF(A452="","",SUMIFS(Sesiones!$F:$F,Sesiones!$C:$C,A452,Sesiones!$G:$G,"ARS")-SUMIFS(Pagos!$H:$H,Pagos!$D:$D,A452,Pagos!$I:$I,"ARS"))</f>
        <v/>
      </c>
      <c r="S452" s="13" t="str">
        <f aca="false">IF(A452="","",SUMIFS(Sesiones!$F:$F,Sesiones!$C:$C,A452,Sesiones!$G:$G,"USD")-SUMIFS(Pagos!$H:$H,Pagos!$D:$D,A452,Pagos!$I:$I,"USD"))</f>
        <v/>
      </c>
      <c r="T452" s="12" t="str">
        <f aca="false">IF(A452="","",SUMIFS(Pagos!$H:$H,Pagos!$D:$D,A452,Pagos!$I:$I,"ARS"))</f>
        <v/>
      </c>
      <c r="U452" s="13" t="str">
        <f aca="false">IF(A452="","",SUMIFS(Pagos!$H:$H,Pagos!$D:$D,A452,Pagos!$I:$I,"USD"))</f>
        <v/>
      </c>
    </row>
    <row r="453" customFormat="false" ht="15" hidden="false" customHeight="false" outlineLevel="0" collapsed="false">
      <c r="A453" s="6"/>
      <c r="B453" s="6"/>
      <c r="C453" s="6"/>
      <c r="D453" s="7"/>
      <c r="E453" s="7"/>
      <c r="F453" s="6"/>
      <c r="G453" s="7"/>
      <c r="H453" s="6"/>
      <c r="I453" s="6"/>
      <c r="J453" s="6"/>
      <c r="K453" s="9"/>
      <c r="L453" s="6"/>
      <c r="M453" s="6"/>
      <c r="N453" s="10"/>
      <c r="O453" s="6"/>
      <c r="P453" s="6"/>
      <c r="Q453" s="11" t="str">
        <f aca="false">IF(A453="","",TRIM(B453&amp;" "&amp;C453))</f>
        <v/>
      </c>
      <c r="R453" s="12" t="str">
        <f aca="false">IF(A453="","",SUMIFS(Sesiones!$F:$F,Sesiones!$C:$C,A453,Sesiones!$G:$G,"ARS")-SUMIFS(Pagos!$H:$H,Pagos!$D:$D,A453,Pagos!$I:$I,"ARS"))</f>
        <v/>
      </c>
      <c r="S453" s="13" t="str">
        <f aca="false">IF(A453="","",SUMIFS(Sesiones!$F:$F,Sesiones!$C:$C,A453,Sesiones!$G:$G,"USD")-SUMIFS(Pagos!$H:$H,Pagos!$D:$D,A453,Pagos!$I:$I,"USD"))</f>
        <v/>
      </c>
      <c r="T453" s="12" t="str">
        <f aca="false">IF(A453="","",SUMIFS(Pagos!$H:$H,Pagos!$D:$D,A453,Pagos!$I:$I,"ARS"))</f>
        <v/>
      </c>
      <c r="U453" s="13" t="str">
        <f aca="false">IF(A453="","",SUMIFS(Pagos!$H:$H,Pagos!$D:$D,A453,Pagos!$I:$I,"USD"))</f>
        <v/>
      </c>
    </row>
    <row r="454" customFormat="false" ht="15" hidden="false" customHeight="false" outlineLevel="0" collapsed="false">
      <c r="A454" s="6"/>
      <c r="B454" s="6"/>
      <c r="C454" s="6"/>
      <c r="D454" s="7"/>
      <c r="E454" s="7"/>
      <c r="F454" s="6"/>
      <c r="G454" s="7"/>
      <c r="H454" s="6"/>
      <c r="I454" s="6"/>
      <c r="J454" s="6"/>
      <c r="K454" s="9"/>
      <c r="L454" s="6"/>
      <c r="M454" s="6"/>
      <c r="N454" s="10"/>
      <c r="O454" s="6"/>
      <c r="P454" s="6"/>
      <c r="Q454" s="11" t="str">
        <f aca="false">IF(A454="","",TRIM(B454&amp;" "&amp;C454))</f>
        <v/>
      </c>
      <c r="R454" s="12" t="str">
        <f aca="false">IF(A454="","",SUMIFS(Sesiones!$F:$F,Sesiones!$C:$C,A454,Sesiones!$G:$G,"ARS")-SUMIFS(Pagos!$H:$H,Pagos!$D:$D,A454,Pagos!$I:$I,"ARS"))</f>
        <v/>
      </c>
      <c r="S454" s="13" t="str">
        <f aca="false">IF(A454="","",SUMIFS(Sesiones!$F:$F,Sesiones!$C:$C,A454,Sesiones!$G:$G,"USD")-SUMIFS(Pagos!$H:$H,Pagos!$D:$D,A454,Pagos!$I:$I,"USD"))</f>
        <v/>
      </c>
      <c r="T454" s="12" t="str">
        <f aca="false">IF(A454="","",SUMIFS(Pagos!$H:$H,Pagos!$D:$D,A454,Pagos!$I:$I,"ARS"))</f>
        <v/>
      </c>
      <c r="U454" s="13" t="str">
        <f aca="false">IF(A454="","",SUMIFS(Pagos!$H:$H,Pagos!$D:$D,A454,Pagos!$I:$I,"USD"))</f>
        <v/>
      </c>
    </row>
    <row r="455" customFormat="false" ht="15" hidden="false" customHeight="false" outlineLevel="0" collapsed="false">
      <c r="A455" s="6"/>
      <c r="B455" s="6"/>
      <c r="C455" s="6"/>
      <c r="D455" s="7"/>
      <c r="E455" s="7"/>
      <c r="F455" s="6"/>
      <c r="G455" s="7"/>
      <c r="H455" s="6"/>
      <c r="I455" s="6"/>
      <c r="J455" s="6"/>
      <c r="K455" s="9"/>
      <c r="L455" s="6"/>
      <c r="M455" s="6"/>
      <c r="N455" s="10"/>
      <c r="O455" s="6"/>
      <c r="P455" s="6"/>
      <c r="Q455" s="11" t="str">
        <f aca="false">IF(A455="","",TRIM(B455&amp;" "&amp;C455))</f>
        <v/>
      </c>
      <c r="R455" s="12" t="str">
        <f aca="false">IF(A455="","",SUMIFS(Sesiones!$F:$F,Sesiones!$C:$C,A455,Sesiones!$G:$G,"ARS")-SUMIFS(Pagos!$H:$H,Pagos!$D:$D,A455,Pagos!$I:$I,"ARS"))</f>
        <v/>
      </c>
      <c r="S455" s="13" t="str">
        <f aca="false">IF(A455="","",SUMIFS(Sesiones!$F:$F,Sesiones!$C:$C,A455,Sesiones!$G:$G,"USD")-SUMIFS(Pagos!$H:$H,Pagos!$D:$D,A455,Pagos!$I:$I,"USD"))</f>
        <v/>
      </c>
      <c r="T455" s="12" t="str">
        <f aca="false">IF(A455="","",SUMIFS(Pagos!$H:$H,Pagos!$D:$D,A455,Pagos!$I:$I,"ARS"))</f>
        <v/>
      </c>
      <c r="U455" s="13" t="str">
        <f aca="false">IF(A455="","",SUMIFS(Pagos!$H:$H,Pagos!$D:$D,A455,Pagos!$I:$I,"USD"))</f>
        <v/>
      </c>
    </row>
    <row r="456" customFormat="false" ht="15" hidden="false" customHeight="false" outlineLevel="0" collapsed="false">
      <c r="A456" s="6"/>
      <c r="B456" s="6"/>
      <c r="C456" s="6"/>
      <c r="D456" s="7"/>
      <c r="E456" s="7"/>
      <c r="F456" s="6"/>
      <c r="G456" s="7"/>
      <c r="H456" s="6"/>
      <c r="I456" s="6"/>
      <c r="J456" s="6"/>
      <c r="K456" s="9"/>
      <c r="L456" s="6"/>
      <c r="M456" s="6"/>
      <c r="N456" s="10"/>
      <c r="O456" s="6"/>
      <c r="P456" s="6"/>
      <c r="Q456" s="11" t="str">
        <f aca="false">IF(A456="","",TRIM(B456&amp;" "&amp;C456))</f>
        <v/>
      </c>
      <c r="R456" s="12" t="str">
        <f aca="false">IF(A456="","",SUMIFS(Sesiones!$F:$F,Sesiones!$C:$C,A456,Sesiones!$G:$G,"ARS")-SUMIFS(Pagos!$H:$H,Pagos!$D:$D,A456,Pagos!$I:$I,"ARS"))</f>
        <v/>
      </c>
      <c r="S456" s="13" t="str">
        <f aca="false">IF(A456="","",SUMIFS(Sesiones!$F:$F,Sesiones!$C:$C,A456,Sesiones!$G:$G,"USD")-SUMIFS(Pagos!$H:$H,Pagos!$D:$D,A456,Pagos!$I:$I,"USD"))</f>
        <v/>
      </c>
      <c r="T456" s="12" t="str">
        <f aca="false">IF(A456="","",SUMIFS(Pagos!$H:$H,Pagos!$D:$D,A456,Pagos!$I:$I,"ARS"))</f>
        <v/>
      </c>
      <c r="U456" s="13" t="str">
        <f aca="false">IF(A456="","",SUMIFS(Pagos!$H:$H,Pagos!$D:$D,A456,Pagos!$I:$I,"USD"))</f>
        <v/>
      </c>
    </row>
    <row r="457" customFormat="false" ht="15" hidden="false" customHeight="false" outlineLevel="0" collapsed="false">
      <c r="A457" s="6"/>
      <c r="B457" s="6"/>
      <c r="C457" s="6"/>
      <c r="D457" s="7"/>
      <c r="E457" s="7"/>
      <c r="F457" s="6"/>
      <c r="G457" s="7"/>
      <c r="H457" s="6"/>
      <c r="I457" s="6"/>
      <c r="J457" s="6"/>
      <c r="K457" s="9"/>
      <c r="L457" s="6"/>
      <c r="M457" s="6"/>
      <c r="N457" s="10"/>
      <c r="O457" s="6"/>
      <c r="P457" s="6"/>
      <c r="Q457" s="11" t="str">
        <f aca="false">IF(A457="","",TRIM(B457&amp;" "&amp;C457))</f>
        <v/>
      </c>
      <c r="R457" s="12" t="str">
        <f aca="false">IF(A457="","",SUMIFS(Sesiones!$F:$F,Sesiones!$C:$C,A457,Sesiones!$G:$G,"ARS")-SUMIFS(Pagos!$H:$H,Pagos!$D:$D,A457,Pagos!$I:$I,"ARS"))</f>
        <v/>
      </c>
      <c r="S457" s="13" t="str">
        <f aca="false">IF(A457="","",SUMIFS(Sesiones!$F:$F,Sesiones!$C:$C,A457,Sesiones!$G:$G,"USD")-SUMIFS(Pagos!$H:$H,Pagos!$D:$D,A457,Pagos!$I:$I,"USD"))</f>
        <v/>
      </c>
      <c r="T457" s="12" t="str">
        <f aca="false">IF(A457="","",SUMIFS(Pagos!$H:$H,Pagos!$D:$D,A457,Pagos!$I:$I,"ARS"))</f>
        <v/>
      </c>
      <c r="U457" s="13" t="str">
        <f aca="false">IF(A457="","",SUMIFS(Pagos!$H:$H,Pagos!$D:$D,A457,Pagos!$I:$I,"USD"))</f>
        <v/>
      </c>
    </row>
    <row r="458" customFormat="false" ht="15" hidden="false" customHeight="false" outlineLevel="0" collapsed="false">
      <c r="A458" s="6"/>
      <c r="B458" s="6"/>
      <c r="C458" s="6"/>
      <c r="D458" s="7"/>
      <c r="E458" s="7"/>
      <c r="F458" s="6"/>
      <c r="G458" s="7"/>
      <c r="H458" s="6"/>
      <c r="I458" s="6"/>
      <c r="J458" s="6"/>
      <c r="K458" s="9"/>
      <c r="L458" s="6"/>
      <c r="M458" s="6"/>
      <c r="N458" s="10"/>
      <c r="O458" s="6"/>
      <c r="P458" s="6"/>
      <c r="Q458" s="11" t="str">
        <f aca="false">IF(A458="","",TRIM(B458&amp;" "&amp;C458))</f>
        <v/>
      </c>
      <c r="R458" s="12" t="str">
        <f aca="false">IF(A458="","",SUMIFS(Sesiones!$F:$F,Sesiones!$C:$C,A458,Sesiones!$G:$G,"ARS")-SUMIFS(Pagos!$H:$H,Pagos!$D:$D,A458,Pagos!$I:$I,"ARS"))</f>
        <v/>
      </c>
      <c r="S458" s="13" t="str">
        <f aca="false">IF(A458="","",SUMIFS(Sesiones!$F:$F,Sesiones!$C:$C,A458,Sesiones!$G:$G,"USD")-SUMIFS(Pagos!$H:$H,Pagos!$D:$D,A458,Pagos!$I:$I,"USD"))</f>
        <v/>
      </c>
      <c r="T458" s="12" t="str">
        <f aca="false">IF(A458="","",SUMIFS(Pagos!$H:$H,Pagos!$D:$D,A458,Pagos!$I:$I,"ARS"))</f>
        <v/>
      </c>
      <c r="U458" s="13" t="str">
        <f aca="false">IF(A458="","",SUMIFS(Pagos!$H:$H,Pagos!$D:$D,A458,Pagos!$I:$I,"USD"))</f>
        <v/>
      </c>
    </row>
    <row r="459" customFormat="false" ht="15" hidden="false" customHeight="false" outlineLevel="0" collapsed="false">
      <c r="A459" s="6"/>
      <c r="B459" s="6"/>
      <c r="C459" s="6"/>
      <c r="D459" s="7"/>
      <c r="E459" s="7"/>
      <c r="F459" s="6"/>
      <c r="G459" s="7"/>
      <c r="H459" s="6"/>
      <c r="I459" s="6"/>
      <c r="J459" s="6"/>
      <c r="K459" s="9"/>
      <c r="L459" s="6"/>
      <c r="M459" s="6"/>
      <c r="N459" s="10"/>
      <c r="O459" s="6"/>
      <c r="P459" s="6"/>
      <c r="Q459" s="11" t="str">
        <f aca="false">IF(A459="","",TRIM(B459&amp;" "&amp;C459))</f>
        <v/>
      </c>
      <c r="R459" s="12" t="str">
        <f aca="false">IF(A459="","",SUMIFS(Sesiones!$F:$F,Sesiones!$C:$C,A459,Sesiones!$G:$G,"ARS")-SUMIFS(Pagos!$H:$H,Pagos!$D:$D,A459,Pagos!$I:$I,"ARS"))</f>
        <v/>
      </c>
      <c r="S459" s="13" t="str">
        <f aca="false">IF(A459="","",SUMIFS(Sesiones!$F:$F,Sesiones!$C:$C,A459,Sesiones!$G:$G,"USD")-SUMIFS(Pagos!$H:$H,Pagos!$D:$D,A459,Pagos!$I:$I,"USD"))</f>
        <v/>
      </c>
      <c r="T459" s="12" t="str">
        <f aca="false">IF(A459="","",SUMIFS(Pagos!$H:$H,Pagos!$D:$D,A459,Pagos!$I:$I,"ARS"))</f>
        <v/>
      </c>
      <c r="U459" s="13" t="str">
        <f aca="false">IF(A459="","",SUMIFS(Pagos!$H:$H,Pagos!$D:$D,A459,Pagos!$I:$I,"USD"))</f>
        <v/>
      </c>
    </row>
    <row r="460" customFormat="false" ht="15" hidden="false" customHeight="false" outlineLevel="0" collapsed="false">
      <c r="A460" s="6"/>
      <c r="B460" s="6"/>
      <c r="C460" s="6"/>
      <c r="D460" s="7"/>
      <c r="E460" s="7"/>
      <c r="F460" s="6"/>
      <c r="G460" s="7"/>
      <c r="H460" s="6"/>
      <c r="I460" s="6"/>
      <c r="J460" s="6"/>
      <c r="K460" s="9"/>
      <c r="L460" s="6"/>
      <c r="M460" s="6"/>
      <c r="N460" s="10"/>
      <c r="O460" s="6"/>
      <c r="P460" s="6"/>
      <c r="Q460" s="11" t="str">
        <f aca="false">IF(A460="","",TRIM(B460&amp;" "&amp;C460))</f>
        <v/>
      </c>
      <c r="R460" s="12" t="str">
        <f aca="false">IF(A460="","",SUMIFS(Sesiones!$F:$F,Sesiones!$C:$C,A460,Sesiones!$G:$G,"ARS")-SUMIFS(Pagos!$H:$H,Pagos!$D:$D,A460,Pagos!$I:$I,"ARS"))</f>
        <v/>
      </c>
      <c r="S460" s="13" t="str">
        <f aca="false">IF(A460="","",SUMIFS(Sesiones!$F:$F,Sesiones!$C:$C,A460,Sesiones!$G:$G,"USD")-SUMIFS(Pagos!$H:$H,Pagos!$D:$D,A460,Pagos!$I:$I,"USD"))</f>
        <v/>
      </c>
      <c r="T460" s="12" t="str">
        <f aca="false">IF(A460="","",SUMIFS(Pagos!$H:$H,Pagos!$D:$D,A460,Pagos!$I:$I,"ARS"))</f>
        <v/>
      </c>
      <c r="U460" s="13" t="str">
        <f aca="false">IF(A460="","",SUMIFS(Pagos!$H:$H,Pagos!$D:$D,A460,Pagos!$I:$I,"USD"))</f>
        <v/>
      </c>
    </row>
    <row r="461" customFormat="false" ht="15" hidden="false" customHeight="false" outlineLevel="0" collapsed="false">
      <c r="A461" s="6"/>
      <c r="B461" s="6"/>
      <c r="C461" s="6"/>
      <c r="D461" s="7"/>
      <c r="E461" s="7"/>
      <c r="F461" s="6"/>
      <c r="G461" s="7"/>
      <c r="H461" s="6"/>
      <c r="I461" s="6"/>
      <c r="J461" s="6"/>
      <c r="K461" s="9"/>
      <c r="L461" s="6"/>
      <c r="M461" s="6"/>
      <c r="N461" s="10"/>
      <c r="O461" s="6"/>
      <c r="P461" s="6"/>
      <c r="Q461" s="11" t="str">
        <f aca="false">IF(A461="","",TRIM(B461&amp;" "&amp;C461))</f>
        <v/>
      </c>
      <c r="R461" s="12" t="str">
        <f aca="false">IF(A461="","",SUMIFS(Sesiones!$F:$F,Sesiones!$C:$C,A461,Sesiones!$G:$G,"ARS")-SUMIFS(Pagos!$H:$H,Pagos!$D:$D,A461,Pagos!$I:$I,"ARS"))</f>
        <v/>
      </c>
      <c r="S461" s="13" t="str">
        <f aca="false">IF(A461="","",SUMIFS(Sesiones!$F:$F,Sesiones!$C:$C,A461,Sesiones!$G:$G,"USD")-SUMIFS(Pagos!$H:$H,Pagos!$D:$D,A461,Pagos!$I:$I,"USD"))</f>
        <v/>
      </c>
      <c r="T461" s="12" t="str">
        <f aca="false">IF(A461="","",SUMIFS(Pagos!$H:$H,Pagos!$D:$D,A461,Pagos!$I:$I,"ARS"))</f>
        <v/>
      </c>
      <c r="U461" s="13" t="str">
        <f aca="false">IF(A461="","",SUMIFS(Pagos!$H:$H,Pagos!$D:$D,A461,Pagos!$I:$I,"USD"))</f>
        <v/>
      </c>
    </row>
    <row r="462" customFormat="false" ht="15" hidden="false" customHeight="false" outlineLevel="0" collapsed="false">
      <c r="A462" s="6"/>
      <c r="B462" s="6"/>
      <c r="C462" s="6"/>
      <c r="D462" s="7"/>
      <c r="E462" s="7"/>
      <c r="F462" s="6"/>
      <c r="G462" s="7"/>
      <c r="H462" s="6"/>
      <c r="I462" s="6"/>
      <c r="J462" s="6"/>
      <c r="K462" s="9"/>
      <c r="L462" s="6"/>
      <c r="M462" s="6"/>
      <c r="N462" s="10"/>
      <c r="O462" s="6"/>
      <c r="P462" s="6"/>
      <c r="Q462" s="11" t="str">
        <f aca="false">IF(A462="","",TRIM(B462&amp;" "&amp;C462))</f>
        <v/>
      </c>
      <c r="R462" s="12" t="str">
        <f aca="false">IF(A462="","",SUMIFS(Sesiones!$F:$F,Sesiones!$C:$C,A462,Sesiones!$G:$G,"ARS")-SUMIFS(Pagos!$H:$H,Pagos!$D:$D,A462,Pagos!$I:$I,"ARS"))</f>
        <v/>
      </c>
      <c r="S462" s="13" t="str">
        <f aca="false">IF(A462="","",SUMIFS(Sesiones!$F:$F,Sesiones!$C:$C,A462,Sesiones!$G:$G,"USD")-SUMIFS(Pagos!$H:$H,Pagos!$D:$D,A462,Pagos!$I:$I,"USD"))</f>
        <v/>
      </c>
      <c r="T462" s="12" t="str">
        <f aca="false">IF(A462="","",SUMIFS(Pagos!$H:$H,Pagos!$D:$D,A462,Pagos!$I:$I,"ARS"))</f>
        <v/>
      </c>
      <c r="U462" s="13" t="str">
        <f aca="false">IF(A462="","",SUMIFS(Pagos!$H:$H,Pagos!$D:$D,A462,Pagos!$I:$I,"USD"))</f>
        <v/>
      </c>
    </row>
    <row r="463" customFormat="false" ht="15" hidden="false" customHeight="false" outlineLevel="0" collapsed="false">
      <c r="A463" s="6"/>
      <c r="B463" s="6"/>
      <c r="C463" s="6"/>
      <c r="D463" s="7"/>
      <c r="E463" s="7"/>
      <c r="F463" s="6"/>
      <c r="G463" s="7"/>
      <c r="H463" s="6"/>
      <c r="I463" s="6"/>
      <c r="J463" s="6"/>
      <c r="K463" s="9"/>
      <c r="L463" s="6"/>
      <c r="M463" s="6"/>
      <c r="N463" s="10"/>
      <c r="O463" s="6"/>
      <c r="P463" s="6"/>
      <c r="Q463" s="11" t="str">
        <f aca="false">IF(A463="","",TRIM(B463&amp;" "&amp;C463))</f>
        <v/>
      </c>
      <c r="R463" s="12" t="str">
        <f aca="false">IF(A463="","",SUMIFS(Sesiones!$F:$F,Sesiones!$C:$C,A463,Sesiones!$G:$G,"ARS")-SUMIFS(Pagos!$H:$H,Pagos!$D:$D,A463,Pagos!$I:$I,"ARS"))</f>
        <v/>
      </c>
      <c r="S463" s="13" t="str">
        <f aca="false">IF(A463="","",SUMIFS(Sesiones!$F:$F,Sesiones!$C:$C,A463,Sesiones!$G:$G,"USD")-SUMIFS(Pagos!$H:$H,Pagos!$D:$D,A463,Pagos!$I:$I,"USD"))</f>
        <v/>
      </c>
      <c r="T463" s="12" t="str">
        <f aca="false">IF(A463="","",SUMIFS(Pagos!$H:$H,Pagos!$D:$D,A463,Pagos!$I:$I,"ARS"))</f>
        <v/>
      </c>
      <c r="U463" s="13" t="str">
        <f aca="false">IF(A463="","",SUMIFS(Pagos!$H:$H,Pagos!$D:$D,A463,Pagos!$I:$I,"USD"))</f>
        <v/>
      </c>
    </row>
    <row r="464" customFormat="false" ht="15" hidden="false" customHeight="false" outlineLevel="0" collapsed="false">
      <c r="A464" s="6"/>
      <c r="B464" s="6"/>
      <c r="C464" s="6"/>
      <c r="D464" s="7"/>
      <c r="E464" s="7"/>
      <c r="F464" s="6"/>
      <c r="G464" s="7"/>
      <c r="H464" s="6"/>
      <c r="I464" s="6"/>
      <c r="J464" s="6"/>
      <c r="K464" s="9"/>
      <c r="L464" s="6"/>
      <c r="M464" s="6"/>
      <c r="N464" s="10"/>
      <c r="O464" s="6"/>
      <c r="P464" s="6"/>
      <c r="Q464" s="11" t="str">
        <f aca="false">IF(A464="","",TRIM(B464&amp;" "&amp;C464))</f>
        <v/>
      </c>
      <c r="R464" s="12" t="str">
        <f aca="false">IF(A464="","",SUMIFS(Sesiones!$F:$F,Sesiones!$C:$C,A464,Sesiones!$G:$G,"ARS")-SUMIFS(Pagos!$H:$H,Pagos!$D:$D,A464,Pagos!$I:$I,"ARS"))</f>
        <v/>
      </c>
      <c r="S464" s="13" t="str">
        <f aca="false">IF(A464="","",SUMIFS(Sesiones!$F:$F,Sesiones!$C:$C,A464,Sesiones!$G:$G,"USD")-SUMIFS(Pagos!$H:$H,Pagos!$D:$D,A464,Pagos!$I:$I,"USD"))</f>
        <v/>
      </c>
      <c r="T464" s="12" t="str">
        <f aca="false">IF(A464="","",SUMIFS(Pagos!$H:$H,Pagos!$D:$D,A464,Pagos!$I:$I,"ARS"))</f>
        <v/>
      </c>
      <c r="U464" s="13" t="str">
        <f aca="false">IF(A464="","",SUMIFS(Pagos!$H:$H,Pagos!$D:$D,A464,Pagos!$I:$I,"USD"))</f>
        <v/>
      </c>
    </row>
    <row r="465" customFormat="false" ht="15" hidden="false" customHeight="false" outlineLevel="0" collapsed="false">
      <c r="A465" s="6"/>
      <c r="B465" s="6"/>
      <c r="C465" s="6"/>
      <c r="D465" s="7"/>
      <c r="E465" s="7"/>
      <c r="F465" s="6"/>
      <c r="G465" s="7"/>
      <c r="H465" s="6"/>
      <c r="I465" s="6"/>
      <c r="J465" s="6"/>
      <c r="K465" s="9"/>
      <c r="L465" s="6"/>
      <c r="M465" s="6"/>
      <c r="N465" s="10"/>
      <c r="O465" s="6"/>
      <c r="P465" s="6"/>
      <c r="Q465" s="11" t="str">
        <f aca="false">IF(A465="","",TRIM(B465&amp;" "&amp;C465))</f>
        <v/>
      </c>
      <c r="R465" s="12" t="str">
        <f aca="false">IF(A465="","",SUMIFS(Sesiones!$F:$F,Sesiones!$C:$C,A465,Sesiones!$G:$G,"ARS")-SUMIFS(Pagos!$H:$H,Pagos!$D:$D,A465,Pagos!$I:$I,"ARS"))</f>
        <v/>
      </c>
      <c r="S465" s="13" t="str">
        <f aca="false">IF(A465="","",SUMIFS(Sesiones!$F:$F,Sesiones!$C:$C,A465,Sesiones!$G:$G,"USD")-SUMIFS(Pagos!$H:$H,Pagos!$D:$D,A465,Pagos!$I:$I,"USD"))</f>
        <v/>
      </c>
      <c r="T465" s="12" t="str">
        <f aca="false">IF(A465="","",SUMIFS(Pagos!$H:$H,Pagos!$D:$D,A465,Pagos!$I:$I,"ARS"))</f>
        <v/>
      </c>
      <c r="U465" s="13" t="str">
        <f aca="false">IF(A465="","",SUMIFS(Pagos!$H:$H,Pagos!$D:$D,A465,Pagos!$I:$I,"USD"))</f>
        <v/>
      </c>
    </row>
    <row r="466" customFormat="false" ht="15" hidden="false" customHeight="false" outlineLevel="0" collapsed="false">
      <c r="A466" s="6"/>
      <c r="B466" s="6"/>
      <c r="C466" s="6"/>
      <c r="D466" s="7"/>
      <c r="E466" s="7"/>
      <c r="F466" s="6"/>
      <c r="G466" s="7"/>
      <c r="H466" s="6"/>
      <c r="I466" s="6"/>
      <c r="J466" s="6"/>
      <c r="K466" s="9"/>
      <c r="L466" s="6"/>
      <c r="M466" s="6"/>
      <c r="N466" s="10"/>
      <c r="O466" s="6"/>
      <c r="P466" s="6"/>
      <c r="Q466" s="11" t="str">
        <f aca="false">IF(A466="","",TRIM(B466&amp;" "&amp;C466))</f>
        <v/>
      </c>
      <c r="R466" s="12" t="str">
        <f aca="false">IF(A466="","",SUMIFS(Sesiones!$F:$F,Sesiones!$C:$C,A466,Sesiones!$G:$G,"ARS")-SUMIFS(Pagos!$H:$H,Pagos!$D:$D,A466,Pagos!$I:$I,"ARS"))</f>
        <v/>
      </c>
      <c r="S466" s="13" t="str">
        <f aca="false">IF(A466="","",SUMIFS(Sesiones!$F:$F,Sesiones!$C:$C,A466,Sesiones!$G:$G,"USD")-SUMIFS(Pagos!$H:$H,Pagos!$D:$D,A466,Pagos!$I:$I,"USD"))</f>
        <v/>
      </c>
      <c r="T466" s="12" t="str">
        <f aca="false">IF(A466="","",SUMIFS(Pagos!$H:$H,Pagos!$D:$D,A466,Pagos!$I:$I,"ARS"))</f>
        <v/>
      </c>
      <c r="U466" s="13" t="str">
        <f aca="false">IF(A466="","",SUMIFS(Pagos!$H:$H,Pagos!$D:$D,A466,Pagos!$I:$I,"USD"))</f>
        <v/>
      </c>
    </row>
    <row r="467" customFormat="false" ht="15" hidden="false" customHeight="false" outlineLevel="0" collapsed="false">
      <c r="A467" s="6"/>
      <c r="B467" s="6"/>
      <c r="C467" s="6"/>
      <c r="D467" s="7"/>
      <c r="E467" s="7"/>
      <c r="F467" s="6"/>
      <c r="G467" s="7"/>
      <c r="H467" s="6"/>
      <c r="I467" s="6"/>
      <c r="J467" s="6"/>
      <c r="K467" s="9"/>
      <c r="L467" s="6"/>
      <c r="M467" s="6"/>
      <c r="N467" s="10"/>
      <c r="O467" s="6"/>
      <c r="P467" s="6"/>
      <c r="Q467" s="11" t="str">
        <f aca="false">IF(A467="","",TRIM(B467&amp;" "&amp;C467))</f>
        <v/>
      </c>
      <c r="R467" s="12" t="str">
        <f aca="false">IF(A467="","",SUMIFS(Sesiones!$F:$F,Sesiones!$C:$C,A467,Sesiones!$G:$G,"ARS")-SUMIFS(Pagos!$H:$H,Pagos!$D:$D,A467,Pagos!$I:$I,"ARS"))</f>
        <v/>
      </c>
      <c r="S467" s="13" t="str">
        <f aca="false">IF(A467="","",SUMIFS(Sesiones!$F:$F,Sesiones!$C:$C,A467,Sesiones!$G:$G,"USD")-SUMIFS(Pagos!$H:$H,Pagos!$D:$D,A467,Pagos!$I:$I,"USD"))</f>
        <v/>
      </c>
      <c r="T467" s="12" t="str">
        <f aca="false">IF(A467="","",SUMIFS(Pagos!$H:$H,Pagos!$D:$D,A467,Pagos!$I:$I,"ARS"))</f>
        <v/>
      </c>
      <c r="U467" s="13" t="str">
        <f aca="false">IF(A467="","",SUMIFS(Pagos!$H:$H,Pagos!$D:$D,A467,Pagos!$I:$I,"USD"))</f>
        <v/>
      </c>
    </row>
    <row r="468" customFormat="false" ht="15" hidden="false" customHeight="false" outlineLevel="0" collapsed="false">
      <c r="A468" s="6"/>
      <c r="B468" s="6"/>
      <c r="C468" s="6"/>
      <c r="D468" s="7"/>
      <c r="E468" s="7"/>
      <c r="F468" s="6"/>
      <c r="G468" s="7"/>
      <c r="H468" s="6"/>
      <c r="I468" s="6"/>
      <c r="J468" s="6"/>
      <c r="K468" s="9"/>
      <c r="L468" s="6"/>
      <c r="M468" s="6"/>
      <c r="N468" s="10"/>
      <c r="O468" s="6"/>
      <c r="P468" s="6"/>
      <c r="Q468" s="11" t="str">
        <f aca="false">IF(A468="","",TRIM(B468&amp;" "&amp;C468))</f>
        <v/>
      </c>
      <c r="R468" s="12" t="str">
        <f aca="false">IF(A468="","",SUMIFS(Sesiones!$F:$F,Sesiones!$C:$C,A468,Sesiones!$G:$G,"ARS")-SUMIFS(Pagos!$H:$H,Pagos!$D:$D,A468,Pagos!$I:$I,"ARS"))</f>
        <v/>
      </c>
      <c r="S468" s="13" t="str">
        <f aca="false">IF(A468="","",SUMIFS(Sesiones!$F:$F,Sesiones!$C:$C,A468,Sesiones!$G:$G,"USD")-SUMIFS(Pagos!$H:$H,Pagos!$D:$D,A468,Pagos!$I:$I,"USD"))</f>
        <v/>
      </c>
      <c r="T468" s="12" t="str">
        <f aca="false">IF(A468="","",SUMIFS(Pagos!$H:$H,Pagos!$D:$D,A468,Pagos!$I:$I,"ARS"))</f>
        <v/>
      </c>
      <c r="U468" s="13" t="str">
        <f aca="false">IF(A468="","",SUMIFS(Pagos!$H:$H,Pagos!$D:$D,A468,Pagos!$I:$I,"USD"))</f>
        <v/>
      </c>
    </row>
    <row r="469" customFormat="false" ht="15" hidden="false" customHeight="false" outlineLevel="0" collapsed="false">
      <c r="A469" s="6"/>
      <c r="B469" s="6"/>
      <c r="C469" s="6"/>
      <c r="D469" s="7"/>
      <c r="E469" s="7"/>
      <c r="F469" s="6"/>
      <c r="G469" s="7"/>
      <c r="H469" s="6"/>
      <c r="I469" s="6"/>
      <c r="J469" s="6"/>
      <c r="K469" s="9"/>
      <c r="L469" s="6"/>
      <c r="M469" s="6"/>
      <c r="N469" s="10"/>
      <c r="O469" s="6"/>
      <c r="P469" s="6"/>
      <c r="Q469" s="11" t="str">
        <f aca="false">IF(A469="","",TRIM(B469&amp;" "&amp;C469))</f>
        <v/>
      </c>
      <c r="R469" s="12" t="str">
        <f aca="false">IF(A469="","",SUMIFS(Sesiones!$F:$F,Sesiones!$C:$C,A469,Sesiones!$G:$G,"ARS")-SUMIFS(Pagos!$H:$H,Pagos!$D:$D,A469,Pagos!$I:$I,"ARS"))</f>
        <v/>
      </c>
      <c r="S469" s="13" t="str">
        <f aca="false">IF(A469="","",SUMIFS(Sesiones!$F:$F,Sesiones!$C:$C,A469,Sesiones!$G:$G,"USD")-SUMIFS(Pagos!$H:$H,Pagos!$D:$D,A469,Pagos!$I:$I,"USD"))</f>
        <v/>
      </c>
      <c r="T469" s="12" t="str">
        <f aca="false">IF(A469="","",SUMIFS(Pagos!$H:$H,Pagos!$D:$D,A469,Pagos!$I:$I,"ARS"))</f>
        <v/>
      </c>
      <c r="U469" s="13" t="str">
        <f aca="false">IF(A469="","",SUMIFS(Pagos!$H:$H,Pagos!$D:$D,A469,Pagos!$I:$I,"USD"))</f>
        <v/>
      </c>
    </row>
    <row r="470" customFormat="false" ht="15" hidden="false" customHeight="false" outlineLevel="0" collapsed="false">
      <c r="A470" s="6"/>
      <c r="B470" s="6"/>
      <c r="C470" s="6"/>
      <c r="D470" s="7"/>
      <c r="E470" s="7"/>
      <c r="F470" s="6"/>
      <c r="G470" s="7"/>
      <c r="H470" s="6"/>
      <c r="I470" s="6"/>
      <c r="J470" s="6"/>
      <c r="K470" s="9"/>
      <c r="L470" s="6"/>
      <c r="M470" s="6"/>
      <c r="N470" s="10"/>
      <c r="O470" s="6"/>
      <c r="P470" s="6"/>
      <c r="Q470" s="11" t="str">
        <f aca="false">IF(A470="","",TRIM(B470&amp;" "&amp;C470))</f>
        <v/>
      </c>
      <c r="R470" s="12" t="str">
        <f aca="false">IF(A470="","",SUMIFS(Sesiones!$F:$F,Sesiones!$C:$C,A470,Sesiones!$G:$G,"ARS")-SUMIFS(Pagos!$H:$H,Pagos!$D:$D,A470,Pagos!$I:$I,"ARS"))</f>
        <v/>
      </c>
      <c r="S470" s="13" t="str">
        <f aca="false">IF(A470="","",SUMIFS(Sesiones!$F:$F,Sesiones!$C:$C,A470,Sesiones!$G:$G,"USD")-SUMIFS(Pagos!$H:$H,Pagos!$D:$D,A470,Pagos!$I:$I,"USD"))</f>
        <v/>
      </c>
      <c r="T470" s="12" t="str">
        <f aca="false">IF(A470="","",SUMIFS(Pagos!$H:$H,Pagos!$D:$D,A470,Pagos!$I:$I,"ARS"))</f>
        <v/>
      </c>
      <c r="U470" s="13" t="str">
        <f aca="false">IF(A470="","",SUMIFS(Pagos!$H:$H,Pagos!$D:$D,A470,Pagos!$I:$I,"USD"))</f>
        <v/>
      </c>
    </row>
    <row r="471" customFormat="false" ht="15" hidden="false" customHeight="false" outlineLevel="0" collapsed="false">
      <c r="A471" s="6"/>
      <c r="B471" s="6"/>
      <c r="C471" s="6"/>
      <c r="D471" s="7"/>
      <c r="E471" s="7"/>
      <c r="F471" s="6"/>
      <c r="G471" s="7"/>
      <c r="H471" s="6"/>
      <c r="I471" s="6"/>
      <c r="J471" s="6"/>
      <c r="K471" s="9"/>
      <c r="L471" s="6"/>
      <c r="M471" s="6"/>
      <c r="N471" s="10"/>
      <c r="O471" s="6"/>
      <c r="P471" s="6"/>
      <c r="Q471" s="11" t="str">
        <f aca="false">IF(A471="","",TRIM(B471&amp;" "&amp;C471))</f>
        <v/>
      </c>
      <c r="R471" s="12" t="str">
        <f aca="false">IF(A471="","",SUMIFS(Sesiones!$F:$F,Sesiones!$C:$C,A471,Sesiones!$G:$G,"ARS")-SUMIFS(Pagos!$H:$H,Pagos!$D:$D,A471,Pagos!$I:$I,"ARS"))</f>
        <v/>
      </c>
      <c r="S471" s="13" t="str">
        <f aca="false">IF(A471="","",SUMIFS(Sesiones!$F:$F,Sesiones!$C:$C,A471,Sesiones!$G:$G,"USD")-SUMIFS(Pagos!$H:$H,Pagos!$D:$D,A471,Pagos!$I:$I,"USD"))</f>
        <v/>
      </c>
      <c r="T471" s="12" t="str">
        <f aca="false">IF(A471="","",SUMIFS(Pagos!$H:$H,Pagos!$D:$D,A471,Pagos!$I:$I,"ARS"))</f>
        <v/>
      </c>
      <c r="U471" s="13" t="str">
        <f aca="false">IF(A471="","",SUMIFS(Pagos!$H:$H,Pagos!$D:$D,A471,Pagos!$I:$I,"USD"))</f>
        <v/>
      </c>
    </row>
    <row r="472" customFormat="false" ht="15" hidden="false" customHeight="false" outlineLevel="0" collapsed="false">
      <c r="A472" s="6"/>
      <c r="B472" s="6"/>
      <c r="C472" s="6"/>
      <c r="D472" s="7"/>
      <c r="E472" s="7"/>
      <c r="F472" s="6"/>
      <c r="G472" s="7"/>
      <c r="H472" s="6"/>
      <c r="I472" s="6"/>
      <c r="J472" s="6"/>
      <c r="K472" s="9"/>
      <c r="L472" s="6"/>
      <c r="M472" s="6"/>
      <c r="N472" s="10"/>
      <c r="O472" s="6"/>
      <c r="P472" s="6"/>
      <c r="Q472" s="11" t="str">
        <f aca="false">IF(A472="","",TRIM(B472&amp;" "&amp;C472))</f>
        <v/>
      </c>
      <c r="R472" s="12" t="str">
        <f aca="false">IF(A472="","",SUMIFS(Sesiones!$F:$F,Sesiones!$C:$C,A472,Sesiones!$G:$G,"ARS")-SUMIFS(Pagos!$H:$H,Pagos!$D:$D,A472,Pagos!$I:$I,"ARS"))</f>
        <v/>
      </c>
      <c r="S472" s="13" t="str">
        <f aca="false">IF(A472="","",SUMIFS(Sesiones!$F:$F,Sesiones!$C:$C,A472,Sesiones!$G:$G,"USD")-SUMIFS(Pagos!$H:$H,Pagos!$D:$D,A472,Pagos!$I:$I,"USD"))</f>
        <v/>
      </c>
      <c r="T472" s="12" t="str">
        <f aca="false">IF(A472="","",SUMIFS(Pagos!$H:$H,Pagos!$D:$D,A472,Pagos!$I:$I,"ARS"))</f>
        <v/>
      </c>
      <c r="U472" s="13" t="str">
        <f aca="false">IF(A472="","",SUMIFS(Pagos!$H:$H,Pagos!$D:$D,A472,Pagos!$I:$I,"USD"))</f>
        <v/>
      </c>
    </row>
    <row r="473" customFormat="false" ht="15" hidden="false" customHeight="false" outlineLevel="0" collapsed="false">
      <c r="A473" s="6"/>
      <c r="B473" s="6"/>
      <c r="C473" s="6"/>
      <c r="D473" s="7"/>
      <c r="E473" s="7"/>
      <c r="F473" s="6"/>
      <c r="G473" s="7"/>
      <c r="H473" s="6"/>
      <c r="I473" s="6"/>
      <c r="J473" s="6"/>
      <c r="K473" s="9"/>
      <c r="L473" s="6"/>
      <c r="M473" s="6"/>
      <c r="N473" s="10"/>
      <c r="O473" s="6"/>
      <c r="P473" s="6"/>
      <c r="Q473" s="11" t="str">
        <f aca="false">IF(A473="","",TRIM(B473&amp;" "&amp;C473))</f>
        <v/>
      </c>
      <c r="R473" s="12" t="str">
        <f aca="false">IF(A473="","",SUMIFS(Sesiones!$F:$F,Sesiones!$C:$C,A473,Sesiones!$G:$G,"ARS")-SUMIFS(Pagos!$H:$H,Pagos!$D:$D,A473,Pagos!$I:$I,"ARS"))</f>
        <v/>
      </c>
      <c r="S473" s="13" t="str">
        <f aca="false">IF(A473="","",SUMIFS(Sesiones!$F:$F,Sesiones!$C:$C,A473,Sesiones!$G:$G,"USD")-SUMIFS(Pagos!$H:$H,Pagos!$D:$D,A473,Pagos!$I:$I,"USD"))</f>
        <v/>
      </c>
      <c r="T473" s="12" t="str">
        <f aca="false">IF(A473="","",SUMIFS(Pagos!$H:$H,Pagos!$D:$D,A473,Pagos!$I:$I,"ARS"))</f>
        <v/>
      </c>
      <c r="U473" s="13" t="str">
        <f aca="false">IF(A473="","",SUMIFS(Pagos!$H:$H,Pagos!$D:$D,A473,Pagos!$I:$I,"USD"))</f>
        <v/>
      </c>
    </row>
    <row r="474" customFormat="false" ht="15" hidden="false" customHeight="false" outlineLevel="0" collapsed="false">
      <c r="A474" s="6"/>
      <c r="B474" s="6"/>
      <c r="C474" s="6"/>
      <c r="D474" s="7"/>
      <c r="E474" s="7"/>
      <c r="F474" s="6"/>
      <c r="G474" s="7"/>
      <c r="H474" s="6"/>
      <c r="I474" s="6"/>
      <c r="J474" s="6"/>
      <c r="K474" s="9"/>
      <c r="L474" s="6"/>
      <c r="M474" s="6"/>
      <c r="N474" s="10"/>
      <c r="O474" s="6"/>
      <c r="P474" s="6"/>
      <c r="Q474" s="11" t="str">
        <f aca="false">IF(A474="","",TRIM(B474&amp;" "&amp;C474))</f>
        <v/>
      </c>
      <c r="R474" s="12" t="str">
        <f aca="false">IF(A474="","",SUMIFS(Sesiones!$F:$F,Sesiones!$C:$C,A474,Sesiones!$G:$G,"ARS")-SUMIFS(Pagos!$H:$H,Pagos!$D:$D,A474,Pagos!$I:$I,"ARS"))</f>
        <v/>
      </c>
      <c r="S474" s="13" t="str">
        <f aca="false">IF(A474="","",SUMIFS(Sesiones!$F:$F,Sesiones!$C:$C,A474,Sesiones!$G:$G,"USD")-SUMIFS(Pagos!$H:$H,Pagos!$D:$D,A474,Pagos!$I:$I,"USD"))</f>
        <v/>
      </c>
      <c r="T474" s="12" t="str">
        <f aca="false">IF(A474="","",SUMIFS(Pagos!$H:$H,Pagos!$D:$D,A474,Pagos!$I:$I,"ARS"))</f>
        <v/>
      </c>
      <c r="U474" s="13" t="str">
        <f aca="false">IF(A474="","",SUMIFS(Pagos!$H:$H,Pagos!$D:$D,A474,Pagos!$I:$I,"USD"))</f>
        <v/>
      </c>
    </row>
    <row r="475" customFormat="false" ht="15" hidden="false" customHeight="false" outlineLevel="0" collapsed="false">
      <c r="A475" s="6"/>
      <c r="B475" s="6"/>
      <c r="C475" s="6"/>
      <c r="D475" s="7"/>
      <c r="E475" s="7"/>
      <c r="F475" s="6"/>
      <c r="G475" s="7"/>
      <c r="H475" s="6"/>
      <c r="I475" s="6"/>
      <c r="J475" s="6"/>
      <c r="K475" s="9"/>
      <c r="L475" s="6"/>
      <c r="M475" s="6"/>
      <c r="N475" s="10"/>
      <c r="O475" s="6"/>
      <c r="P475" s="6"/>
      <c r="Q475" s="11" t="str">
        <f aca="false">IF(A475="","",TRIM(B475&amp;" "&amp;C475))</f>
        <v/>
      </c>
      <c r="R475" s="12" t="str">
        <f aca="false">IF(A475="","",SUMIFS(Sesiones!$F:$F,Sesiones!$C:$C,A475,Sesiones!$G:$G,"ARS")-SUMIFS(Pagos!$H:$H,Pagos!$D:$D,A475,Pagos!$I:$I,"ARS"))</f>
        <v/>
      </c>
      <c r="S475" s="13" t="str">
        <f aca="false">IF(A475="","",SUMIFS(Sesiones!$F:$F,Sesiones!$C:$C,A475,Sesiones!$G:$G,"USD")-SUMIFS(Pagos!$H:$H,Pagos!$D:$D,A475,Pagos!$I:$I,"USD"))</f>
        <v/>
      </c>
      <c r="T475" s="12" t="str">
        <f aca="false">IF(A475="","",SUMIFS(Pagos!$H:$H,Pagos!$D:$D,A475,Pagos!$I:$I,"ARS"))</f>
        <v/>
      </c>
      <c r="U475" s="13" t="str">
        <f aca="false">IF(A475="","",SUMIFS(Pagos!$H:$H,Pagos!$D:$D,A475,Pagos!$I:$I,"USD"))</f>
        <v/>
      </c>
    </row>
    <row r="476" customFormat="false" ht="15" hidden="false" customHeight="false" outlineLevel="0" collapsed="false">
      <c r="A476" s="6"/>
      <c r="B476" s="6"/>
      <c r="C476" s="6"/>
      <c r="D476" s="7"/>
      <c r="E476" s="7"/>
      <c r="F476" s="6"/>
      <c r="G476" s="7"/>
      <c r="H476" s="6"/>
      <c r="I476" s="6"/>
      <c r="J476" s="6"/>
      <c r="K476" s="9"/>
      <c r="L476" s="6"/>
      <c r="M476" s="6"/>
      <c r="N476" s="10"/>
      <c r="O476" s="6"/>
      <c r="P476" s="6"/>
      <c r="Q476" s="11" t="str">
        <f aca="false">IF(A476="","",TRIM(B476&amp;" "&amp;C476))</f>
        <v/>
      </c>
      <c r="R476" s="12" t="str">
        <f aca="false">IF(A476="","",SUMIFS(Sesiones!$F:$F,Sesiones!$C:$C,A476,Sesiones!$G:$G,"ARS")-SUMIFS(Pagos!$H:$H,Pagos!$D:$D,A476,Pagos!$I:$I,"ARS"))</f>
        <v/>
      </c>
      <c r="S476" s="13" t="str">
        <f aca="false">IF(A476="","",SUMIFS(Sesiones!$F:$F,Sesiones!$C:$C,A476,Sesiones!$G:$G,"USD")-SUMIFS(Pagos!$H:$H,Pagos!$D:$D,A476,Pagos!$I:$I,"USD"))</f>
        <v/>
      </c>
      <c r="T476" s="12" t="str">
        <f aca="false">IF(A476="","",SUMIFS(Pagos!$H:$H,Pagos!$D:$D,A476,Pagos!$I:$I,"ARS"))</f>
        <v/>
      </c>
      <c r="U476" s="13" t="str">
        <f aca="false">IF(A476="","",SUMIFS(Pagos!$H:$H,Pagos!$D:$D,A476,Pagos!$I:$I,"USD"))</f>
        <v/>
      </c>
    </row>
    <row r="477" customFormat="false" ht="15" hidden="false" customHeight="false" outlineLevel="0" collapsed="false">
      <c r="A477" s="6"/>
      <c r="B477" s="6"/>
      <c r="C477" s="6"/>
      <c r="D477" s="7"/>
      <c r="E477" s="7"/>
      <c r="F477" s="6"/>
      <c r="G477" s="7"/>
      <c r="H477" s="6"/>
      <c r="I477" s="6"/>
      <c r="J477" s="6"/>
      <c r="K477" s="9"/>
      <c r="L477" s="6"/>
      <c r="M477" s="6"/>
      <c r="N477" s="10"/>
      <c r="O477" s="6"/>
      <c r="P477" s="6"/>
      <c r="Q477" s="11" t="str">
        <f aca="false">IF(A477="","",TRIM(B477&amp;" "&amp;C477))</f>
        <v/>
      </c>
      <c r="R477" s="12" t="str">
        <f aca="false">IF(A477="","",SUMIFS(Sesiones!$F:$F,Sesiones!$C:$C,A477,Sesiones!$G:$G,"ARS")-SUMIFS(Pagos!$H:$H,Pagos!$D:$D,A477,Pagos!$I:$I,"ARS"))</f>
        <v/>
      </c>
      <c r="S477" s="13" t="str">
        <f aca="false">IF(A477="","",SUMIFS(Sesiones!$F:$F,Sesiones!$C:$C,A477,Sesiones!$G:$G,"USD")-SUMIFS(Pagos!$H:$H,Pagos!$D:$D,A477,Pagos!$I:$I,"USD"))</f>
        <v/>
      </c>
      <c r="T477" s="12" t="str">
        <f aca="false">IF(A477="","",SUMIFS(Pagos!$H:$H,Pagos!$D:$D,A477,Pagos!$I:$I,"ARS"))</f>
        <v/>
      </c>
      <c r="U477" s="13" t="str">
        <f aca="false">IF(A477="","",SUMIFS(Pagos!$H:$H,Pagos!$D:$D,A477,Pagos!$I:$I,"USD"))</f>
        <v/>
      </c>
    </row>
    <row r="478" customFormat="false" ht="15" hidden="false" customHeight="false" outlineLevel="0" collapsed="false">
      <c r="A478" s="6"/>
      <c r="B478" s="6"/>
      <c r="C478" s="6"/>
      <c r="D478" s="7"/>
      <c r="E478" s="7"/>
      <c r="F478" s="6"/>
      <c r="G478" s="7"/>
      <c r="H478" s="6"/>
      <c r="I478" s="6"/>
      <c r="J478" s="6"/>
      <c r="K478" s="9"/>
      <c r="L478" s="6"/>
      <c r="M478" s="6"/>
      <c r="N478" s="10"/>
      <c r="O478" s="6"/>
      <c r="P478" s="6"/>
      <c r="Q478" s="11" t="str">
        <f aca="false">IF(A478="","",TRIM(B478&amp;" "&amp;C478))</f>
        <v/>
      </c>
      <c r="R478" s="12" t="str">
        <f aca="false">IF(A478="","",SUMIFS(Sesiones!$F:$F,Sesiones!$C:$C,A478,Sesiones!$G:$G,"ARS")-SUMIFS(Pagos!$H:$H,Pagos!$D:$D,A478,Pagos!$I:$I,"ARS"))</f>
        <v/>
      </c>
      <c r="S478" s="13" t="str">
        <f aca="false">IF(A478="","",SUMIFS(Sesiones!$F:$F,Sesiones!$C:$C,A478,Sesiones!$G:$G,"USD")-SUMIFS(Pagos!$H:$H,Pagos!$D:$D,A478,Pagos!$I:$I,"USD"))</f>
        <v/>
      </c>
      <c r="T478" s="12" t="str">
        <f aca="false">IF(A478="","",SUMIFS(Pagos!$H:$H,Pagos!$D:$D,A478,Pagos!$I:$I,"ARS"))</f>
        <v/>
      </c>
      <c r="U478" s="13" t="str">
        <f aca="false">IF(A478="","",SUMIFS(Pagos!$H:$H,Pagos!$D:$D,A478,Pagos!$I:$I,"USD"))</f>
        <v/>
      </c>
    </row>
    <row r="479" customFormat="false" ht="15" hidden="false" customHeight="false" outlineLevel="0" collapsed="false">
      <c r="A479" s="6"/>
      <c r="B479" s="6"/>
      <c r="C479" s="6"/>
      <c r="D479" s="7"/>
      <c r="E479" s="7"/>
      <c r="F479" s="6"/>
      <c r="G479" s="7"/>
      <c r="H479" s="6"/>
      <c r="I479" s="6"/>
      <c r="J479" s="6"/>
      <c r="K479" s="9"/>
      <c r="L479" s="6"/>
      <c r="M479" s="6"/>
      <c r="N479" s="10"/>
      <c r="O479" s="6"/>
      <c r="P479" s="6"/>
      <c r="Q479" s="11" t="str">
        <f aca="false">IF(A479="","",TRIM(B479&amp;" "&amp;C479))</f>
        <v/>
      </c>
      <c r="R479" s="12" t="str">
        <f aca="false">IF(A479="","",SUMIFS(Sesiones!$F:$F,Sesiones!$C:$C,A479,Sesiones!$G:$G,"ARS")-SUMIFS(Pagos!$H:$H,Pagos!$D:$D,A479,Pagos!$I:$I,"ARS"))</f>
        <v/>
      </c>
      <c r="S479" s="13" t="str">
        <f aca="false">IF(A479="","",SUMIFS(Sesiones!$F:$F,Sesiones!$C:$C,A479,Sesiones!$G:$G,"USD")-SUMIFS(Pagos!$H:$H,Pagos!$D:$D,A479,Pagos!$I:$I,"USD"))</f>
        <v/>
      </c>
      <c r="T479" s="12" t="str">
        <f aca="false">IF(A479="","",SUMIFS(Pagos!$H:$H,Pagos!$D:$D,A479,Pagos!$I:$I,"ARS"))</f>
        <v/>
      </c>
      <c r="U479" s="13" t="str">
        <f aca="false">IF(A479="","",SUMIFS(Pagos!$H:$H,Pagos!$D:$D,A479,Pagos!$I:$I,"USD"))</f>
        <v/>
      </c>
    </row>
    <row r="480" customFormat="false" ht="15" hidden="false" customHeight="false" outlineLevel="0" collapsed="false">
      <c r="A480" s="6"/>
      <c r="B480" s="6"/>
      <c r="C480" s="6"/>
      <c r="D480" s="7"/>
      <c r="E480" s="7"/>
      <c r="F480" s="6"/>
      <c r="G480" s="7"/>
      <c r="H480" s="6"/>
      <c r="I480" s="6"/>
      <c r="J480" s="6"/>
      <c r="K480" s="9"/>
      <c r="L480" s="6"/>
      <c r="M480" s="6"/>
      <c r="N480" s="10"/>
      <c r="O480" s="6"/>
      <c r="P480" s="6"/>
      <c r="Q480" s="11" t="str">
        <f aca="false">IF(A480="","",TRIM(B480&amp;" "&amp;C480))</f>
        <v/>
      </c>
      <c r="R480" s="12" t="str">
        <f aca="false">IF(A480="","",SUMIFS(Sesiones!$F:$F,Sesiones!$C:$C,A480,Sesiones!$G:$G,"ARS")-SUMIFS(Pagos!$H:$H,Pagos!$D:$D,A480,Pagos!$I:$I,"ARS"))</f>
        <v/>
      </c>
      <c r="S480" s="13" t="str">
        <f aca="false">IF(A480="","",SUMIFS(Sesiones!$F:$F,Sesiones!$C:$C,A480,Sesiones!$G:$G,"USD")-SUMIFS(Pagos!$H:$H,Pagos!$D:$D,A480,Pagos!$I:$I,"USD"))</f>
        <v/>
      </c>
      <c r="T480" s="12" t="str">
        <f aca="false">IF(A480="","",SUMIFS(Pagos!$H:$H,Pagos!$D:$D,A480,Pagos!$I:$I,"ARS"))</f>
        <v/>
      </c>
      <c r="U480" s="13" t="str">
        <f aca="false">IF(A480="","",SUMIFS(Pagos!$H:$H,Pagos!$D:$D,A480,Pagos!$I:$I,"USD"))</f>
        <v/>
      </c>
    </row>
    <row r="481" customFormat="false" ht="15" hidden="false" customHeight="false" outlineLevel="0" collapsed="false">
      <c r="A481" s="6"/>
      <c r="B481" s="6"/>
      <c r="C481" s="6"/>
      <c r="D481" s="7"/>
      <c r="E481" s="7"/>
      <c r="F481" s="6"/>
      <c r="G481" s="7"/>
      <c r="H481" s="6"/>
      <c r="I481" s="6"/>
      <c r="J481" s="6"/>
      <c r="K481" s="9"/>
      <c r="L481" s="6"/>
      <c r="M481" s="6"/>
      <c r="N481" s="10"/>
      <c r="O481" s="6"/>
      <c r="P481" s="6"/>
      <c r="Q481" s="11" t="str">
        <f aca="false">IF(A481="","",TRIM(B481&amp;" "&amp;C481))</f>
        <v/>
      </c>
      <c r="R481" s="12" t="str">
        <f aca="false">IF(A481="","",SUMIFS(Sesiones!$F:$F,Sesiones!$C:$C,A481,Sesiones!$G:$G,"ARS")-SUMIFS(Pagos!$H:$H,Pagos!$D:$D,A481,Pagos!$I:$I,"ARS"))</f>
        <v/>
      </c>
      <c r="S481" s="13" t="str">
        <f aca="false">IF(A481="","",SUMIFS(Sesiones!$F:$F,Sesiones!$C:$C,A481,Sesiones!$G:$G,"USD")-SUMIFS(Pagos!$H:$H,Pagos!$D:$D,A481,Pagos!$I:$I,"USD"))</f>
        <v/>
      </c>
      <c r="T481" s="12" t="str">
        <f aca="false">IF(A481="","",SUMIFS(Pagos!$H:$H,Pagos!$D:$D,A481,Pagos!$I:$I,"ARS"))</f>
        <v/>
      </c>
      <c r="U481" s="13" t="str">
        <f aca="false">IF(A481="","",SUMIFS(Pagos!$H:$H,Pagos!$D:$D,A481,Pagos!$I:$I,"USD"))</f>
        <v/>
      </c>
    </row>
    <row r="482" customFormat="false" ht="15" hidden="false" customHeight="false" outlineLevel="0" collapsed="false">
      <c r="A482" s="6"/>
      <c r="B482" s="6"/>
      <c r="C482" s="6"/>
      <c r="D482" s="7"/>
      <c r="E482" s="7"/>
      <c r="F482" s="6"/>
      <c r="G482" s="7"/>
      <c r="H482" s="6"/>
      <c r="I482" s="6"/>
      <c r="J482" s="6"/>
      <c r="K482" s="9"/>
      <c r="L482" s="6"/>
      <c r="M482" s="6"/>
      <c r="N482" s="10"/>
      <c r="O482" s="6"/>
      <c r="P482" s="6"/>
      <c r="Q482" s="11" t="str">
        <f aca="false">IF(A482="","",TRIM(B482&amp;" "&amp;C482))</f>
        <v/>
      </c>
      <c r="R482" s="12" t="str">
        <f aca="false">IF(A482="","",SUMIFS(Sesiones!$F:$F,Sesiones!$C:$C,A482,Sesiones!$G:$G,"ARS")-SUMIFS(Pagos!$H:$H,Pagos!$D:$D,A482,Pagos!$I:$I,"ARS"))</f>
        <v/>
      </c>
      <c r="S482" s="13" t="str">
        <f aca="false">IF(A482="","",SUMIFS(Sesiones!$F:$F,Sesiones!$C:$C,A482,Sesiones!$G:$G,"USD")-SUMIFS(Pagos!$H:$H,Pagos!$D:$D,A482,Pagos!$I:$I,"USD"))</f>
        <v/>
      </c>
      <c r="T482" s="12" t="str">
        <f aca="false">IF(A482="","",SUMIFS(Pagos!$H:$H,Pagos!$D:$D,A482,Pagos!$I:$I,"ARS"))</f>
        <v/>
      </c>
      <c r="U482" s="13" t="str">
        <f aca="false">IF(A482="","",SUMIFS(Pagos!$H:$H,Pagos!$D:$D,A482,Pagos!$I:$I,"USD"))</f>
        <v/>
      </c>
    </row>
    <row r="483" customFormat="false" ht="15" hidden="false" customHeight="false" outlineLevel="0" collapsed="false">
      <c r="A483" s="6"/>
      <c r="B483" s="6"/>
      <c r="C483" s="6"/>
      <c r="D483" s="7"/>
      <c r="E483" s="7"/>
      <c r="F483" s="6"/>
      <c r="G483" s="7"/>
      <c r="H483" s="6"/>
      <c r="I483" s="6"/>
      <c r="J483" s="6"/>
      <c r="K483" s="9"/>
      <c r="L483" s="6"/>
      <c r="M483" s="6"/>
      <c r="N483" s="10"/>
      <c r="O483" s="6"/>
      <c r="P483" s="6"/>
      <c r="Q483" s="11" t="str">
        <f aca="false">IF(A483="","",TRIM(B483&amp;" "&amp;C483))</f>
        <v/>
      </c>
      <c r="R483" s="12" t="str">
        <f aca="false">IF(A483="","",SUMIFS(Sesiones!$F:$F,Sesiones!$C:$C,A483,Sesiones!$G:$G,"ARS")-SUMIFS(Pagos!$H:$H,Pagos!$D:$D,A483,Pagos!$I:$I,"ARS"))</f>
        <v/>
      </c>
      <c r="S483" s="13" t="str">
        <f aca="false">IF(A483="","",SUMIFS(Sesiones!$F:$F,Sesiones!$C:$C,A483,Sesiones!$G:$G,"USD")-SUMIFS(Pagos!$H:$H,Pagos!$D:$D,A483,Pagos!$I:$I,"USD"))</f>
        <v/>
      </c>
      <c r="T483" s="12" t="str">
        <f aca="false">IF(A483="","",SUMIFS(Pagos!$H:$H,Pagos!$D:$D,A483,Pagos!$I:$I,"ARS"))</f>
        <v/>
      </c>
      <c r="U483" s="13" t="str">
        <f aca="false">IF(A483="","",SUMIFS(Pagos!$H:$H,Pagos!$D:$D,A483,Pagos!$I:$I,"USD"))</f>
        <v/>
      </c>
    </row>
    <row r="484" customFormat="false" ht="15" hidden="false" customHeight="false" outlineLevel="0" collapsed="false">
      <c r="A484" s="6"/>
      <c r="B484" s="6"/>
      <c r="C484" s="6"/>
      <c r="D484" s="7"/>
      <c r="E484" s="7"/>
      <c r="F484" s="6"/>
      <c r="G484" s="7"/>
      <c r="H484" s="6"/>
      <c r="I484" s="6"/>
      <c r="J484" s="6"/>
      <c r="K484" s="9"/>
      <c r="L484" s="6"/>
      <c r="M484" s="6"/>
      <c r="N484" s="10"/>
      <c r="O484" s="6"/>
      <c r="P484" s="6"/>
      <c r="Q484" s="11" t="str">
        <f aca="false">IF(A484="","",TRIM(B484&amp;" "&amp;C484))</f>
        <v/>
      </c>
      <c r="R484" s="12" t="str">
        <f aca="false">IF(A484="","",SUMIFS(Sesiones!$F:$F,Sesiones!$C:$C,A484,Sesiones!$G:$G,"ARS")-SUMIFS(Pagos!$H:$H,Pagos!$D:$D,A484,Pagos!$I:$I,"ARS"))</f>
        <v/>
      </c>
      <c r="S484" s="13" t="str">
        <f aca="false">IF(A484="","",SUMIFS(Sesiones!$F:$F,Sesiones!$C:$C,A484,Sesiones!$G:$G,"USD")-SUMIFS(Pagos!$H:$H,Pagos!$D:$D,A484,Pagos!$I:$I,"USD"))</f>
        <v/>
      </c>
      <c r="T484" s="12" t="str">
        <f aca="false">IF(A484="","",SUMIFS(Pagos!$H:$H,Pagos!$D:$D,A484,Pagos!$I:$I,"ARS"))</f>
        <v/>
      </c>
      <c r="U484" s="13" t="str">
        <f aca="false">IF(A484="","",SUMIFS(Pagos!$H:$H,Pagos!$D:$D,A484,Pagos!$I:$I,"USD"))</f>
        <v/>
      </c>
    </row>
    <row r="485" customFormat="false" ht="15" hidden="false" customHeight="false" outlineLevel="0" collapsed="false">
      <c r="A485" s="6"/>
      <c r="B485" s="6"/>
      <c r="C485" s="6"/>
      <c r="D485" s="7"/>
      <c r="E485" s="7"/>
      <c r="F485" s="6"/>
      <c r="G485" s="7"/>
      <c r="H485" s="6"/>
      <c r="I485" s="6"/>
      <c r="J485" s="6"/>
      <c r="K485" s="9"/>
      <c r="L485" s="6"/>
      <c r="M485" s="6"/>
      <c r="N485" s="10"/>
      <c r="O485" s="6"/>
      <c r="P485" s="6"/>
      <c r="Q485" s="11" t="str">
        <f aca="false">IF(A485="","",TRIM(B485&amp;" "&amp;C485))</f>
        <v/>
      </c>
      <c r="R485" s="12" t="str">
        <f aca="false">IF(A485="","",SUMIFS(Sesiones!$F:$F,Sesiones!$C:$C,A485,Sesiones!$G:$G,"ARS")-SUMIFS(Pagos!$H:$H,Pagos!$D:$D,A485,Pagos!$I:$I,"ARS"))</f>
        <v/>
      </c>
      <c r="S485" s="13" t="str">
        <f aca="false">IF(A485="","",SUMIFS(Sesiones!$F:$F,Sesiones!$C:$C,A485,Sesiones!$G:$G,"USD")-SUMIFS(Pagos!$H:$H,Pagos!$D:$D,A485,Pagos!$I:$I,"USD"))</f>
        <v/>
      </c>
      <c r="T485" s="12" t="str">
        <f aca="false">IF(A485="","",SUMIFS(Pagos!$H:$H,Pagos!$D:$D,A485,Pagos!$I:$I,"ARS"))</f>
        <v/>
      </c>
      <c r="U485" s="13" t="str">
        <f aca="false">IF(A485="","",SUMIFS(Pagos!$H:$H,Pagos!$D:$D,A485,Pagos!$I:$I,"USD"))</f>
        <v/>
      </c>
    </row>
    <row r="486" customFormat="false" ht="15" hidden="false" customHeight="false" outlineLevel="0" collapsed="false">
      <c r="A486" s="6"/>
      <c r="B486" s="6"/>
      <c r="C486" s="6"/>
      <c r="D486" s="7"/>
      <c r="E486" s="7"/>
      <c r="F486" s="6"/>
      <c r="G486" s="7"/>
      <c r="H486" s="6"/>
      <c r="I486" s="6"/>
      <c r="J486" s="6"/>
      <c r="K486" s="9"/>
      <c r="L486" s="6"/>
      <c r="M486" s="6"/>
      <c r="N486" s="10"/>
      <c r="O486" s="6"/>
      <c r="P486" s="6"/>
      <c r="Q486" s="11" t="str">
        <f aca="false">IF(A486="","",TRIM(B486&amp;" "&amp;C486))</f>
        <v/>
      </c>
      <c r="R486" s="12" t="str">
        <f aca="false">IF(A486="","",SUMIFS(Sesiones!$F:$F,Sesiones!$C:$C,A486,Sesiones!$G:$G,"ARS")-SUMIFS(Pagos!$H:$H,Pagos!$D:$D,A486,Pagos!$I:$I,"ARS"))</f>
        <v/>
      </c>
      <c r="S486" s="13" t="str">
        <f aca="false">IF(A486="","",SUMIFS(Sesiones!$F:$F,Sesiones!$C:$C,A486,Sesiones!$G:$G,"USD")-SUMIFS(Pagos!$H:$H,Pagos!$D:$D,A486,Pagos!$I:$I,"USD"))</f>
        <v/>
      </c>
      <c r="T486" s="12" t="str">
        <f aca="false">IF(A486="","",SUMIFS(Pagos!$H:$H,Pagos!$D:$D,A486,Pagos!$I:$I,"ARS"))</f>
        <v/>
      </c>
      <c r="U486" s="13" t="str">
        <f aca="false">IF(A486="","",SUMIFS(Pagos!$H:$H,Pagos!$D:$D,A486,Pagos!$I:$I,"USD"))</f>
        <v/>
      </c>
    </row>
    <row r="487" customFormat="false" ht="15" hidden="false" customHeight="false" outlineLevel="0" collapsed="false">
      <c r="A487" s="6"/>
      <c r="B487" s="6"/>
      <c r="C487" s="6"/>
      <c r="D487" s="7"/>
      <c r="E487" s="7"/>
      <c r="F487" s="6"/>
      <c r="G487" s="7"/>
      <c r="H487" s="6"/>
      <c r="I487" s="6"/>
      <c r="J487" s="6"/>
      <c r="K487" s="9"/>
      <c r="L487" s="6"/>
      <c r="M487" s="6"/>
      <c r="N487" s="10"/>
      <c r="O487" s="6"/>
      <c r="P487" s="6"/>
      <c r="Q487" s="11" t="str">
        <f aca="false">IF(A487="","",TRIM(B487&amp;" "&amp;C487))</f>
        <v/>
      </c>
      <c r="R487" s="12" t="str">
        <f aca="false">IF(A487="","",SUMIFS(Sesiones!$F:$F,Sesiones!$C:$C,A487,Sesiones!$G:$G,"ARS")-SUMIFS(Pagos!$H:$H,Pagos!$D:$D,A487,Pagos!$I:$I,"ARS"))</f>
        <v/>
      </c>
      <c r="S487" s="13" t="str">
        <f aca="false">IF(A487="","",SUMIFS(Sesiones!$F:$F,Sesiones!$C:$C,A487,Sesiones!$G:$G,"USD")-SUMIFS(Pagos!$H:$H,Pagos!$D:$D,A487,Pagos!$I:$I,"USD"))</f>
        <v/>
      </c>
      <c r="T487" s="12" t="str">
        <f aca="false">IF(A487="","",SUMIFS(Pagos!$H:$H,Pagos!$D:$D,A487,Pagos!$I:$I,"ARS"))</f>
        <v/>
      </c>
      <c r="U487" s="13" t="str">
        <f aca="false">IF(A487="","",SUMIFS(Pagos!$H:$H,Pagos!$D:$D,A487,Pagos!$I:$I,"USD"))</f>
        <v/>
      </c>
    </row>
    <row r="488" customFormat="false" ht="15" hidden="false" customHeight="false" outlineLevel="0" collapsed="false">
      <c r="A488" s="6"/>
      <c r="B488" s="6"/>
      <c r="C488" s="6"/>
      <c r="D488" s="7"/>
      <c r="E488" s="7"/>
      <c r="F488" s="6"/>
      <c r="G488" s="7"/>
      <c r="H488" s="6"/>
      <c r="I488" s="6"/>
      <c r="J488" s="6"/>
      <c r="K488" s="9"/>
      <c r="L488" s="6"/>
      <c r="M488" s="6"/>
      <c r="N488" s="10"/>
      <c r="O488" s="6"/>
      <c r="P488" s="6"/>
      <c r="Q488" s="11" t="str">
        <f aca="false">IF(A488="","",TRIM(B488&amp;" "&amp;C488))</f>
        <v/>
      </c>
      <c r="R488" s="12" t="str">
        <f aca="false">IF(A488="","",SUMIFS(Sesiones!$F:$F,Sesiones!$C:$C,A488,Sesiones!$G:$G,"ARS")-SUMIFS(Pagos!$H:$H,Pagos!$D:$D,A488,Pagos!$I:$I,"ARS"))</f>
        <v/>
      </c>
      <c r="S488" s="13" t="str">
        <f aca="false">IF(A488="","",SUMIFS(Sesiones!$F:$F,Sesiones!$C:$C,A488,Sesiones!$G:$G,"USD")-SUMIFS(Pagos!$H:$H,Pagos!$D:$D,A488,Pagos!$I:$I,"USD"))</f>
        <v/>
      </c>
      <c r="T488" s="12" t="str">
        <f aca="false">IF(A488="","",SUMIFS(Pagos!$H:$H,Pagos!$D:$D,A488,Pagos!$I:$I,"ARS"))</f>
        <v/>
      </c>
      <c r="U488" s="13" t="str">
        <f aca="false">IF(A488="","",SUMIFS(Pagos!$H:$H,Pagos!$D:$D,A488,Pagos!$I:$I,"USD"))</f>
        <v/>
      </c>
    </row>
    <row r="489" customFormat="false" ht="15" hidden="false" customHeight="false" outlineLevel="0" collapsed="false">
      <c r="A489" s="6"/>
      <c r="B489" s="6"/>
      <c r="C489" s="6"/>
      <c r="D489" s="7"/>
      <c r="E489" s="7"/>
      <c r="F489" s="6"/>
      <c r="G489" s="7"/>
      <c r="H489" s="6"/>
      <c r="I489" s="6"/>
      <c r="J489" s="6"/>
      <c r="K489" s="9"/>
      <c r="L489" s="6"/>
      <c r="M489" s="6"/>
      <c r="N489" s="10"/>
      <c r="O489" s="6"/>
      <c r="P489" s="6"/>
      <c r="Q489" s="11" t="str">
        <f aca="false">IF(A489="","",TRIM(B489&amp;" "&amp;C489))</f>
        <v/>
      </c>
      <c r="R489" s="12" t="str">
        <f aca="false">IF(A489="","",SUMIFS(Sesiones!$F:$F,Sesiones!$C:$C,A489,Sesiones!$G:$G,"ARS")-SUMIFS(Pagos!$H:$H,Pagos!$D:$D,A489,Pagos!$I:$I,"ARS"))</f>
        <v/>
      </c>
      <c r="S489" s="13" t="str">
        <f aca="false">IF(A489="","",SUMIFS(Sesiones!$F:$F,Sesiones!$C:$C,A489,Sesiones!$G:$G,"USD")-SUMIFS(Pagos!$H:$H,Pagos!$D:$D,A489,Pagos!$I:$I,"USD"))</f>
        <v/>
      </c>
      <c r="T489" s="12" t="str">
        <f aca="false">IF(A489="","",SUMIFS(Pagos!$H:$H,Pagos!$D:$D,A489,Pagos!$I:$I,"ARS"))</f>
        <v/>
      </c>
      <c r="U489" s="13" t="str">
        <f aca="false">IF(A489="","",SUMIFS(Pagos!$H:$H,Pagos!$D:$D,A489,Pagos!$I:$I,"USD"))</f>
        <v/>
      </c>
    </row>
    <row r="490" customFormat="false" ht="15" hidden="false" customHeight="false" outlineLevel="0" collapsed="false">
      <c r="A490" s="6"/>
      <c r="B490" s="6"/>
      <c r="C490" s="6"/>
      <c r="D490" s="7"/>
      <c r="E490" s="7"/>
      <c r="F490" s="6"/>
      <c r="G490" s="7"/>
      <c r="H490" s="6"/>
      <c r="I490" s="6"/>
      <c r="J490" s="6"/>
      <c r="K490" s="9"/>
      <c r="L490" s="6"/>
      <c r="M490" s="6"/>
      <c r="N490" s="10"/>
      <c r="O490" s="6"/>
      <c r="P490" s="6"/>
      <c r="Q490" s="11" t="str">
        <f aca="false">IF(A490="","",TRIM(B490&amp;" "&amp;C490))</f>
        <v/>
      </c>
      <c r="R490" s="12" t="str">
        <f aca="false">IF(A490="","",SUMIFS(Sesiones!$F:$F,Sesiones!$C:$C,A490,Sesiones!$G:$G,"ARS")-SUMIFS(Pagos!$H:$H,Pagos!$D:$D,A490,Pagos!$I:$I,"ARS"))</f>
        <v/>
      </c>
      <c r="S490" s="13" t="str">
        <f aca="false">IF(A490="","",SUMIFS(Sesiones!$F:$F,Sesiones!$C:$C,A490,Sesiones!$G:$G,"USD")-SUMIFS(Pagos!$H:$H,Pagos!$D:$D,A490,Pagos!$I:$I,"USD"))</f>
        <v/>
      </c>
      <c r="T490" s="12" t="str">
        <f aca="false">IF(A490="","",SUMIFS(Pagos!$H:$H,Pagos!$D:$D,A490,Pagos!$I:$I,"ARS"))</f>
        <v/>
      </c>
      <c r="U490" s="13" t="str">
        <f aca="false">IF(A490="","",SUMIFS(Pagos!$H:$H,Pagos!$D:$D,A490,Pagos!$I:$I,"USD"))</f>
        <v/>
      </c>
    </row>
    <row r="491" customFormat="false" ht="15" hidden="false" customHeight="false" outlineLevel="0" collapsed="false">
      <c r="A491" s="6"/>
      <c r="B491" s="6"/>
      <c r="C491" s="6"/>
      <c r="D491" s="7"/>
      <c r="E491" s="7"/>
      <c r="F491" s="6"/>
      <c r="G491" s="7"/>
      <c r="H491" s="6"/>
      <c r="I491" s="6"/>
      <c r="J491" s="6"/>
      <c r="K491" s="9"/>
      <c r="L491" s="6"/>
      <c r="M491" s="6"/>
      <c r="N491" s="10"/>
      <c r="O491" s="6"/>
      <c r="P491" s="6"/>
      <c r="Q491" s="11" t="str">
        <f aca="false">IF(A491="","",TRIM(B491&amp;" "&amp;C491))</f>
        <v/>
      </c>
      <c r="R491" s="12" t="str">
        <f aca="false">IF(A491="","",SUMIFS(Sesiones!$F:$F,Sesiones!$C:$C,A491,Sesiones!$G:$G,"ARS")-SUMIFS(Pagos!$H:$H,Pagos!$D:$D,A491,Pagos!$I:$I,"ARS"))</f>
        <v/>
      </c>
      <c r="S491" s="13" t="str">
        <f aca="false">IF(A491="","",SUMIFS(Sesiones!$F:$F,Sesiones!$C:$C,A491,Sesiones!$G:$G,"USD")-SUMIFS(Pagos!$H:$H,Pagos!$D:$D,A491,Pagos!$I:$I,"USD"))</f>
        <v/>
      </c>
      <c r="T491" s="12" t="str">
        <f aca="false">IF(A491="","",SUMIFS(Pagos!$H:$H,Pagos!$D:$D,A491,Pagos!$I:$I,"ARS"))</f>
        <v/>
      </c>
      <c r="U491" s="13" t="str">
        <f aca="false">IF(A491="","",SUMIFS(Pagos!$H:$H,Pagos!$D:$D,A491,Pagos!$I:$I,"USD"))</f>
        <v/>
      </c>
    </row>
    <row r="492" customFormat="false" ht="15" hidden="false" customHeight="false" outlineLevel="0" collapsed="false">
      <c r="A492" s="6"/>
      <c r="B492" s="6"/>
      <c r="C492" s="6"/>
      <c r="D492" s="7"/>
      <c r="E492" s="7"/>
      <c r="F492" s="6"/>
      <c r="G492" s="7"/>
      <c r="H492" s="6"/>
      <c r="I492" s="6"/>
      <c r="J492" s="6"/>
      <c r="K492" s="9"/>
      <c r="L492" s="6"/>
      <c r="M492" s="6"/>
      <c r="N492" s="10"/>
      <c r="O492" s="6"/>
      <c r="P492" s="6"/>
      <c r="Q492" s="11" t="str">
        <f aca="false">IF(A492="","",TRIM(B492&amp;" "&amp;C492))</f>
        <v/>
      </c>
      <c r="R492" s="12" t="str">
        <f aca="false">IF(A492="","",SUMIFS(Sesiones!$F:$F,Sesiones!$C:$C,A492,Sesiones!$G:$G,"ARS")-SUMIFS(Pagos!$H:$H,Pagos!$D:$D,A492,Pagos!$I:$I,"ARS"))</f>
        <v/>
      </c>
      <c r="S492" s="13" t="str">
        <f aca="false">IF(A492="","",SUMIFS(Sesiones!$F:$F,Sesiones!$C:$C,A492,Sesiones!$G:$G,"USD")-SUMIFS(Pagos!$H:$H,Pagos!$D:$D,A492,Pagos!$I:$I,"USD"))</f>
        <v/>
      </c>
      <c r="T492" s="12" t="str">
        <f aca="false">IF(A492="","",SUMIFS(Pagos!$H:$H,Pagos!$D:$D,A492,Pagos!$I:$I,"ARS"))</f>
        <v/>
      </c>
      <c r="U492" s="13" t="str">
        <f aca="false">IF(A492="","",SUMIFS(Pagos!$H:$H,Pagos!$D:$D,A492,Pagos!$I:$I,"USD"))</f>
        <v/>
      </c>
    </row>
    <row r="493" customFormat="false" ht="15" hidden="false" customHeight="false" outlineLevel="0" collapsed="false">
      <c r="A493" s="6"/>
      <c r="B493" s="6"/>
      <c r="C493" s="6"/>
      <c r="D493" s="7"/>
      <c r="E493" s="7"/>
      <c r="F493" s="6"/>
      <c r="G493" s="7"/>
      <c r="H493" s="6"/>
      <c r="I493" s="6"/>
      <c r="J493" s="6"/>
      <c r="K493" s="9"/>
      <c r="L493" s="6"/>
      <c r="M493" s="6"/>
      <c r="N493" s="10"/>
      <c r="O493" s="6"/>
      <c r="P493" s="6"/>
      <c r="Q493" s="11" t="str">
        <f aca="false">IF(A493="","",TRIM(B493&amp;" "&amp;C493))</f>
        <v/>
      </c>
      <c r="R493" s="12" t="str">
        <f aca="false">IF(A493="","",SUMIFS(Sesiones!$F:$F,Sesiones!$C:$C,A493,Sesiones!$G:$G,"ARS")-SUMIFS(Pagos!$H:$H,Pagos!$D:$D,A493,Pagos!$I:$I,"ARS"))</f>
        <v/>
      </c>
      <c r="S493" s="13" t="str">
        <f aca="false">IF(A493="","",SUMIFS(Sesiones!$F:$F,Sesiones!$C:$C,A493,Sesiones!$G:$G,"USD")-SUMIFS(Pagos!$H:$H,Pagos!$D:$D,A493,Pagos!$I:$I,"USD"))</f>
        <v/>
      </c>
      <c r="T493" s="12" t="str">
        <f aca="false">IF(A493="","",SUMIFS(Pagos!$H:$H,Pagos!$D:$D,A493,Pagos!$I:$I,"ARS"))</f>
        <v/>
      </c>
      <c r="U493" s="13" t="str">
        <f aca="false">IF(A493="","",SUMIFS(Pagos!$H:$H,Pagos!$D:$D,A493,Pagos!$I:$I,"USD"))</f>
        <v/>
      </c>
    </row>
    <row r="494" customFormat="false" ht="15" hidden="false" customHeight="false" outlineLevel="0" collapsed="false">
      <c r="A494" s="6"/>
      <c r="B494" s="6"/>
      <c r="C494" s="6"/>
      <c r="D494" s="7"/>
      <c r="E494" s="7"/>
      <c r="F494" s="6"/>
      <c r="G494" s="7"/>
      <c r="H494" s="6"/>
      <c r="I494" s="6"/>
      <c r="J494" s="6"/>
      <c r="K494" s="9"/>
      <c r="L494" s="6"/>
      <c r="M494" s="6"/>
      <c r="N494" s="10"/>
      <c r="O494" s="6"/>
      <c r="P494" s="6"/>
      <c r="Q494" s="11" t="str">
        <f aca="false">IF(A494="","",TRIM(B494&amp;" "&amp;C494))</f>
        <v/>
      </c>
      <c r="R494" s="12" t="str">
        <f aca="false">IF(A494="","",SUMIFS(Sesiones!$F:$F,Sesiones!$C:$C,A494,Sesiones!$G:$G,"ARS")-SUMIFS(Pagos!$H:$H,Pagos!$D:$D,A494,Pagos!$I:$I,"ARS"))</f>
        <v/>
      </c>
      <c r="S494" s="13" t="str">
        <f aca="false">IF(A494="","",SUMIFS(Sesiones!$F:$F,Sesiones!$C:$C,A494,Sesiones!$G:$G,"USD")-SUMIFS(Pagos!$H:$H,Pagos!$D:$D,A494,Pagos!$I:$I,"USD"))</f>
        <v/>
      </c>
      <c r="T494" s="12" t="str">
        <f aca="false">IF(A494="","",SUMIFS(Pagos!$H:$H,Pagos!$D:$D,A494,Pagos!$I:$I,"ARS"))</f>
        <v/>
      </c>
      <c r="U494" s="13" t="str">
        <f aca="false">IF(A494="","",SUMIFS(Pagos!$H:$H,Pagos!$D:$D,A494,Pagos!$I:$I,"USD"))</f>
        <v/>
      </c>
    </row>
    <row r="495" customFormat="false" ht="15" hidden="false" customHeight="false" outlineLevel="0" collapsed="false">
      <c r="A495" s="6"/>
      <c r="B495" s="6"/>
      <c r="C495" s="6"/>
      <c r="D495" s="7"/>
      <c r="E495" s="7"/>
      <c r="F495" s="6"/>
      <c r="G495" s="7"/>
      <c r="H495" s="6"/>
      <c r="I495" s="6"/>
      <c r="J495" s="6"/>
      <c r="K495" s="9"/>
      <c r="L495" s="6"/>
      <c r="M495" s="6"/>
      <c r="N495" s="10"/>
      <c r="O495" s="6"/>
      <c r="P495" s="6"/>
      <c r="Q495" s="11" t="str">
        <f aca="false">IF(A495="","",TRIM(B495&amp;" "&amp;C495))</f>
        <v/>
      </c>
      <c r="R495" s="12" t="str">
        <f aca="false">IF(A495="","",SUMIFS(Sesiones!$F:$F,Sesiones!$C:$C,A495,Sesiones!$G:$G,"ARS")-SUMIFS(Pagos!$H:$H,Pagos!$D:$D,A495,Pagos!$I:$I,"ARS"))</f>
        <v/>
      </c>
      <c r="S495" s="13" t="str">
        <f aca="false">IF(A495="","",SUMIFS(Sesiones!$F:$F,Sesiones!$C:$C,A495,Sesiones!$G:$G,"USD")-SUMIFS(Pagos!$H:$H,Pagos!$D:$D,A495,Pagos!$I:$I,"USD"))</f>
        <v/>
      </c>
      <c r="T495" s="12" t="str">
        <f aca="false">IF(A495="","",SUMIFS(Pagos!$H:$H,Pagos!$D:$D,A495,Pagos!$I:$I,"ARS"))</f>
        <v/>
      </c>
      <c r="U495" s="13" t="str">
        <f aca="false">IF(A495="","",SUMIFS(Pagos!$H:$H,Pagos!$D:$D,A495,Pagos!$I:$I,"USD"))</f>
        <v/>
      </c>
    </row>
    <row r="496" customFormat="false" ht="15" hidden="false" customHeight="false" outlineLevel="0" collapsed="false">
      <c r="A496" s="6"/>
      <c r="B496" s="6"/>
      <c r="C496" s="6"/>
      <c r="D496" s="7"/>
      <c r="E496" s="7"/>
      <c r="F496" s="6"/>
      <c r="G496" s="7"/>
      <c r="H496" s="6"/>
      <c r="I496" s="6"/>
      <c r="J496" s="6"/>
      <c r="K496" s="9"/>
      <c r="L496" s="6"/>
      <c r="M496" s="6"/>
      <c r="N496" s="10"/>
      <c r="O496" s="6"/>
      <c r="P496" s="6"/>
      <c r="Q496" s="11" t="str">
        <f aca="false">IF(A496="","",TRIM(B496&amp;" "&amp;C496))</f>
        <v/>
      </c>
      <c r="R496" s="12" t="str">
        <f aca="false">IF(A496="","",SUMIFS(Sesiones!$F:$F,Sesiones!$C:$C,A496,Sesiones!$G:$G,"ARS")-SUMIFS(Pagos!$H:$H,Pagos!$D:$D,A496,Pagos!$I:$I,"ARS"))</f>
        <v/>
      </c>
      <c r="S496" s="13" t="str">
        <f aca="false">IF(A496="","",SUMIFS(Sesiones!$F:$F,Sesiones!$C:$C,A496,Sesiones!$G:$G,"USD")-SUMIFS(Pagos!$H:$H,Pagos!$D:$D,A496,Pagos!$I:$I,"USD"))</f>
        <v/>
      </c>
      <c r="T496" s="12" t="str">
        <f aca="false">IF(A496="","",SUMIFS(Pagos!$H:$H,Pagos!$D:$D,A496,Pagos!$I:$I,"ARS"))</f>
        <v/>
      </c>
      <c r="U496" s="13" t="str">
        <f aca="false">IF(A496="","",SUMIFS(Pagos!$H:$H,Pagos!$D:$D,A496,Pagos!$I:$I,"USD"))</f>
        <v/>
      </c>
    </row>
    <row r="497" customFormat="false" ht="15" hidden="false" customHeight="false" outlineLevel="0" collapsed="false">
      <c r="A497" s="6"/>
      <c r="B497" s="6"/>
      <c r="C497" s="6"/>
      <c r="D497" s="7"/>
      <c r="E497" s="7"/>
      <c r="F497" s="6"/>
      <c r="G497" s="7"/>
      <c r="H497" s="6"/>
      <c r="I497" s="6"/>
      <c r="J497" s="6"/>
      <c r="K497" s="9"/>
      <c r="L497" s="6"/>
      <c r="M497" s="6"/>
      <c r="N497" s="10"/>
      <c r="O497" s="6"/>
      <c r="P497" s="6"/>
      <c r="Q497" s="11" t="str">
        <f aca="false">IF(A497="","",TRIM(B497&amp;" "&amp;C497))</f>
        <v/>
      </c>
      <c r="R497" s="12" t="str">
        <f aca="false">IF(A497="","",SUMIFS(Sesiones!$F:$F,Sesiones!$C:$C,A497,Sesiones!$G:$G,"ARS")-SUMIFS(Pagos!$H:$H,Pagos!$D:$D,A497,Pagos!$I:$I,"ARS"))</f>
        <v/>
      </c>
      <c r="S497" s="13" t="str">
        <f aca="false">IF(A497="","",SUMIFS(Sesiones!$F:$F,Sesiones!$C:$C,A497,Sesiones!$G:$G,"USD")-SUMIFS(Pagos!$H:$H,Pagos!$D:$D,A497,Pagos!$I:$I,"USD"))</f>
        <v/>
      </c>
      <c r="T497" s="12" t="str">
        <f aca="false">IF(A497="","",SUMIFS(Pagos!$H:$H,Pagos!$D:$D,A497,Pagos!$I:$I,"ARS"))</f>
        <v/>
      </c>
      <c r="U497" s="13" t="str">
        <f aca="false">IF(A497="","",SUMIFS(Pagos!$H:$H,Pagos!$D:$D,A497,Pagos!$I:$I,"USD"))</f>
        <v/>
      </c>
    </row>
    <row r="498" customFormat="false" ht="15" hidden="false" customHeight="false" outlineLevel="0" collapsed="false">
      <c r="A498" s="6"/>
      <c r="B498" s="6"/>
      <c r="C498" s="6"/>
      <c r="D498" s="7"/>
      <c r="E498" s="7"/>
      <c r="F498" s="6"/>
      <c r="G498" s="7"/>
      <c r="H498" s="6"/>
      <c r="I498" s="6"/>
      <c r="J498" s="6"/>
      <c r="K498" s="9"/>
      <c r="L498" s="6"/>
      <c r="M498" s="6"/>
      <c r="N498" s="10"/>
      <c r="O498" s="6"/>
      <c r="P498" s="6"/>
      <c r="Q498" s="11" t="str">
        <f aca="false">IF(A498="","",TRIM(B498&amp;" "&amp;C498))</f>
        <v/>
      </c>
      <c r="R498" s="12" t="str">
        <f aca="false">IF(A498="","",SUMIFS(Sesiones!$F:$F,Sesiones!$C:$C,A498,Sesiones!$G:$G,"ARS")-SUMIFS(Pagos!$H:$H,Pagos!$D:$D,A498,Pagos!$I:$I,"ARS"))</f>
        <v/>
      </c>
      <c r="S498" s="13" t="str">
        <f aca="false">IF(A498="","",SUMIFS(Sesiones!$F:$F,Sesiones!$C:$C,A498,Sesiones!$G:$G,"USD")-SUMIFS(Pagos!$H:$H,Pagos!$D:$D,A498,Pagos!$I:$I,"USD"))</f>
        <v/>
      </c>
      <c r="T498" s="12" t="str">
        <f aca="false">IF(A498="","",SUMIFS(Pagos!$H:$H,Pagos!$D:$D,A498,Pagos!$I:$I,"ARS"))</f>
        <v/>
      </c>
      <c r="U498" s="13" t="str">
        <f aca="false">IF(A498="","",SUMIFS(Pagos!$H:$H,Pagos!$D:$D,A498,Pagos!$I:$I,"USD"))</f>
        <v/>
      </c>
    </row>
    <row r="499" customFormat="false" ht="15" hidden="false" customHeight="false" outlineLevel="0" collapsed="false">
      <c r="A499" s="6"/>
      <c r="B499" s="6"/>
      <c r="C499" s="6"/>
      <c r="D499" s="7"/>
      <c r="E499" s="7"/>
      <c r="F499" s="6"/>
      <c r="G499" s="7"/>
      <c r="H499" s="6"/>
      <c r="I499" s="6"/>
      <c r="J499" s="6"/>
      <c r="K499" s="9"/>
      <c r="L499" s="6"/>
      <c r="M499" s="6"/>
      <c r="N499" s="10"/>
      <c r="O499" s="6"/>
      <c r="P499" s="6"/>
      <c r="Q499" s="11" t="str">
        <f aca="false">IF(A499="","",TRIM(B499&amp;" "&amp;C499))</f>
        <v/>
      </c>
      <c r="R499" s="12" t="str">
        <f aca="false">IF(A499="","",SUMIFS(Sesiones!$F:$F,Sesiones!$C:$C,A499,Sesiones!$G:$G,"ARS")-SUMIFS(Pagos!$H:$H,Pagos!$D:$D,A499,Pagos!$I:$I,"ARS"))</f>
        <v/>
      </c>
      <c r="S499" s="13" t="str">
        <f aca="false">IF(A499="","",SUMIFS(Sesiones!$F:$F,Sesiones!$C:$C,A499,Sesiones!$G:$G,"USD")-SUMIFS(Pagos!$H:$H,Pagos!$D:$D,A499,Pagos!$I:$I,"USD"))</f>
        <v/>
      </c>
      <c r="T499" s="12" t="str">
        <f aca="false">IF(A499="","",SUMIFS(Pagos!$H:$H,Pagos!$D:$D,A499,Pagos!$I:$I,"ARS"))</f>
        <v/>
      </c>
      <c r="U499" s="13" t="str">
        <f aca="false">IF(A499="","",SUMIFS(Pagos!$H:$H,Pagos!$D:$D,A499,Pagos!$I:$I,"USD"))</f>
        <v/>
      </c>
    </row>
    <row r="500" customFormat="false" ht="15" hidden="false" customHeight="false" outlineLevel="0" collapsed="false">
      <c r="A500" s="6"/>
      <c r="B500" s="6"/>
      <c r="C500" s="6"/>
      <c r="D500" s="7"/>
      <c r="E500" s="7"/>
      <c r="F500" s="6"/>
      <c r="G500" s="7"/>
      <c r="H500" s="6"/>
      <c r="I500" s="6"/>
      <c r="J500" s="6"/>
      <c r="K500" s="9"/>
      <c r="L500" s="6"/>
      <c r="M500" s="6"/>
      <c r="N500" s="10"/>
      <c r="O500" s="6"/>
      <c r="P500" s="6"/>
      <c r="Q500" s="11" t="str">
        <f aca="false">IF(A500="","",TRIM(B500&amp;" "&amp;C500))</f>
        <v/>
      </c>
      <c r="R500" s="12" t="str">
        <f aca="false">IF(A500="","",SUMIFS(Sesiones!$F:$F,Sesiones!$C:$C,A500,Sesiones!$G:$G,"ARS")-SUMIFS(Pagos!$H:$H,Pagos!$D:$D,A500,Pagos!$I:$I,"ARS"))</f>
        <v/>
      </c>
      <c r="S500" s="13" t="str">
        <f aca="false">IF(A500="","",SUMIFS(Sesiones!$F:$F,Sesiones!$C:$C,A500,Sesiones!$G:$G,"USD")-SUMIFS(Pagos!$H:$H,Pagos!$D:$D,A500,Pagos!$I:$I,"USD"))</f>
        <v/>
      </c>
      <c r="T500" s="12" t="str">
        <f aca="false">IF(A500="","",SUMIFS(Pagos!$H:$H,Pagos!$D:$D,A500,Pagos!$I:$I,"ARS"))</f>
        <v/>
      </c>
      <c r="U500" s="13" t="str">
        <f aca="false">IF(A500="","",SUMIFS(Pagos!$H:$H,Pagos!$D:$D,A500,Pagos!$I:$I,"USD"))</f>
        <v/>
      </c>
    </row>
    <row r="501" customFormat="false" ht="15" hidden="false" customHeight="false" outlineLevel="0" collapsed="false">
      <c r="A501" s="6"/>
      <c r="B501" s="6"/>
      <c r="C501" s="6"/>
      <c r="D501" s="7"/>
      <c r="E501" s="7"/>
      <c r="F501" s="6"/>
      <c r="G501" s="7"/>
      <c r="H501" s="6"/>
      <c r="I501" s="6"/>
      <c r="J501" s="6"/>
      <c r="K501" s="9"/>
      <c r="L501" s="6"/>
      <c r="M501" s="6"/>
      <c r="N501" s="10"/>
      <c r="O501" s="6"/>
      <c r="P501" s="6"/>
      <c r="Q501" s="11" t="str">
        <f aca="false">IF(A501="","",TRIM(B501&amp;" "&amp;C501))</f>
        <v/>
      </c>
      <c r="R501" s="12" t="str">
        <f aca="false">IF(A501="","",SUMIFS(Sesiones!$F:$F,Sesiones!$C:$C,A501,Sesiones!$G:$G,"ARS")-SUMIFS(Pagos!$H:$H,Pagos!$D:$D,A501,Pagos!$I:$I,"ARS"))</f>
        <v/>
      </c>
      <c r="S501" s="13" t="str">
        <f aca="false">IF(A501="","",SUMIFS(Sesiones!$F:$F,Sesiones!$C:$C,A501,Sesiones!$G:$G,"USD")-SUMIFS(Pagos!$H:$H,Pagos!$D:$D,A501,Pagos!$I:$I,"USD"))</f>
        <v/>
      </c>
      <c r="T501" s="12" t="str">
        <f aca="false">IF(A501="","",SUMIFS(Pagos!$H:$H,Pagos!$D:$D,A501,Pagos!$I:$I,"ARS"))</f>
        <v/>
      </c>
      <c r="U501" s="13" t="str">
        <f aca="false">IF(A501="","",SUMIFS(Pagos!$H:$H,Pagos!$D:$D,A501,Pagos!$I:$I,"USD"))</f>
        <v/>
      </c>
    </row>
  </sheetData>
  <dataValidations count="5">
    <dataValidation allowBlank="true" error="Elegí un valor de la lista (condición IVA)." errorStyle="stop" errorTitle="Valor no válido" operator="between" showDropDown="false" showErrorMessage="false" showInputMessage="false" sqref="F2:F501" type="list">
      <formula1>Listas!$D$2:$D$5</formula1>
      <formula2>0</formula2>
    </dataValidation>
    <dataValidation allowBlank="true" error="Elegí un valor de la lista (modalidad)." errorStyle="stop" errorTitle="Valor no válido" operator="between" showDropDown="false" showErrorMessage="false" showInputMessage="false" sqref="J2:J501" type="list">
      <formula1>Listas!$C$2:$C$3</formula1>
      <formula2>0</formula2>
    </dataValidation>
    <dataValidation allowBlank="true" error="Elegí un valor de la lista (moneda)." errorStyle="stop" errorTitle="Valor no válido" operator="between" showDropDown="false" showErrorMessage="false" showInputMessage="false" sqref="L2:L501" type="list">
      <formula1>Listas!$A$2:$A$3</formula1>
      <formula2>0</formula2>
    </dataValidation>
    <dataValidation allowBlank="true" error="Elegí un valor de la lista (frecuencia)." errorStyle="stop" errorTitle="Valor no válido" operator="between" showDropDown="false" showErrorMessage="false" showInputMessage="false" sqref="M2:M501" type="list">
      <formula1>Listas!$H$2:$H$5</formula1>
      <formula2>0</formula2>
    </dataValidation>
    <dataValidation allowBlank="true" error="Elegí un valor de la lista (activo)." errorStyle="stop" errorTitle="Valor no válido" operator="between" showDropDown="false" showErrorMessage="false" showInputMessage="false" sqref="O2:O501" type="list">
      <formula1>Listas!$E$2:$E$3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2"/>
    <col collapsed="false" customWidth="true" hidden="false" outlineLevel="0" max="4" min="4" style="0" width="26"/>
    <col collapsed="false" customWidth="true" hidden="false" outlineLevel="0" max="5" min="5" style="0" width="11"/>
    <col collapsed="false" customWidth="true" hidden="false" outlineLevel="0" max="6" min="6" style="0" width="14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30"/>
  </cols>
  <sheetData>
    <row r="1" customFormat="false" ht="31.5" hidden="false" customHeight="true" outlineLevel="0" collapsed="false">
      <c r="A1" s="8" t="s">
        <v>66</v>
      </c>
      <c r="B1" s="8" t="s">
        <v>67</v>
      </c>
      <c r="C1" s="8" t="s">
        <v>34</v>
      </c>
      <c r="D1" s="8" t="s">
        <v>68</v>
      </c>
      <c r="E1" s="8" t="s">
        <v>69</v>
      </c>
      <c r="F1" s="8" t="s">
        <v>70</v>
      </c>
      <c r="G1" s="8" t="s">
        <v>42</v>
      </c>
      <c r="H1" s="8" t="s">
        <v>71</v>
      </c>
      <c r="I1" s="8" t="s">
        <v>72</v>
      </c>
    </row>
    <row r="2" customFormat="false" ht="15" hidden="false" customHeight="false" outlineLevel="0" collapsed="false">
      <c r="A2" s="6" t="s">
        <v>73</v>
      </c>
      <c r="B2" s="10" t="n">
        <v>46085</v>
      </c>
      <c r="C2" s="6" t="s">
        <v>52</v>
      </c>
      <c r="D2" s="14" t="str">
        <f aca="false">IF(C2="","",IFERROR(INDEX(Pacientes!$Q:$Q,MATCH(C2,Pacientes!$A:$A,0)),"ID no existe"))</f>
        <v>María Ejemplo</v>
      </c>
      <c r="E2" s="15" t="n">
        <f aca="false">IF(B2="","",DATE(YEAR(B2),MONTH(B2),1))</f>
        <v>46082</v>
      </c>
      <c r="F2" s="9" t="n">
        <v>25000</v>
      </c>
      <c r="G2" s="6" t="s">
        <v>62</v>
      </c>
      <c r="H2" s="6" t="s">
        <v>74</v>
      </c>
      <c r="I2" s="6" t="s">
        <v>65</v>
      </c>
    </row>
    <row r="3" customFormat="false" ht="15" hidden="false" customHeight="false" outlineLevel="0" collapsed="false">
      <c r="A3" s="6"/>
      <c r="B3" s="10"/>
      <c r="C3" s="6"/>
      <c r="D3" s="14" t="str">
        <f aca="false">IF(C3="","",IFERROR(INDEX(Pacientes!$Q:$Q,MATCH(C3,Pacientes!$A:$A,0)),"ID no existe"))</f>
        <v/>
      </c>
      <c r="E3" s="15" t="str">
        <f aca="false">IF(B3="","",DATE(YEAR(B3),MONTH(B3),1))</f>
        <v/>
      </c>
      <c r="F3" s="9"/>
      <c r="G3" s="6"/>
      <c r="H3" s="6"/>
      <c r="I3" s="6"/>
    </row>
    <row r="4" customFormat="false" ht="15" hidden="false" customHeight="false" outlineLevel="0" collapsed="false">
      <c r="A4" s="6"/>
      <c r="B4" s="10"/>
      <c r="C4" s="6"/>
      <c r="D4" s="14" t="str">
        <f aca="false">IF(C4="","",IFERROR(INDEX(Pacientes!$Q:$Q,MATCH(C4,Pacientes!$A:$A,0)),"ID no existe"))</f>
        <v/>
      </c>
      <c r="E4" s="15" t="str">
        <f aca="false">IF(B4="","",DATE(YEAR(B4),MONTH(B4),1))</f>
        <v/>
      </c>
      <c r="F4" s="9"/>
      <c r="G4" s="6"/>
      <c r="H4" s="6"/>
      <c r="I4" s="6"/>
    </row>
    <row r="5" customFormat="false" ht="15" hidden="false" customHeight="false" outlineLevel="0" collapsed="false">
      <c r="A5" s="6"/>
      <c r="B5" s="10"/>
      <c r="C5" s="6"/>
      <c r="D5" s="14" t="str">
        <f aca="false">IF(C5="","",IFERROR(INDEX(Pacientes!$Q:$Q,MATCH(C5,Pacientes!$A:$A,0)),"ID no existe"))</f>
        <v/>
      </c>
      <c r="E5" s="15" t="str">
        <f aca="false">IF(B5="","",DATE(YEAR(B5),MONTH(B5),1))</f>
        <v/>
      </c>
      <c r="F5" s="9"/>
      <c r="G5" s="6"/>
      <c r="H5" s="6"/>
      <c r="I5" s="6"/>
    </row>
    <row r="6" customFormat="false" ht="15" hidden="false" customHeight="false" outlineLevel="0" collapsed="false">
      <c r="A6" s="6"/>
      <c r="B6" s="10"/>
      <c r="C6" s="6"/>
      <c r="D6" s="14" t="str">
        <f aca="false">IF(C6="","",IFERROR(INDEX(Pacientes!$Q:$Q,MATCH(C6,Pacientes!$A:$A,0)),"ID no existe"))</f>
        <v/>
      </c>
      <c r="E6" s="15" t="str">
        <f aca="false">IF(B6="","",DATE(YEAR(B6),MONTH(B6),1))</f>
        <v/>
      </c>
      <c r="F6" s="9"/>
      <c r="G6" s="6"/>
      <c r="H6" s="6"/>
      <c r="I6" s="6"/>
    </row>
    <row r="7" customFormat="false" ht="15" hidden="false" customHeight="false" outlineLevel="0" collapsed="false">
      <c r="A7" s="6"/>
      <c r="B7" s="10"/>
      <c r="C7" s="6"/>
      <c r="D7" s="14" t="str">
        <f aca="false">IF(C7="","",IFERROR(INDEX(Pacientes!$Q:$Q,MATCH(C7,Pacientes!$A:$A,0)),"ID no existe"))</f>
        <v/>
      </c>
      <c r="E7" s="15" t="str">
        <f aca="false">IF(B7="","",DATE(YEAR(B7),MONTH(B7),1))</f>
        <v/>
      </c>
      <c r="F7" s="9"/>
      <c r="G7" s="6"/>
      <c r="H7" s="6"/>
      <c r="I7" s="6"/>
    </row>
    <row r="8" customFormat="false" ht="15" hidden="false" customHeight="false" outlineLevel="0" collapsed="false">
      <c r="A8" s="6"/>
      <c r="B8" s="10"/>
      <c r="C8" s="6"/>
      <c r="D8" s="14" t="str">
        <f aca="false">IF(C8="","",IFERROR(INDEX(Pacientes!$Q:$Q,MATCH(C8,Pacientes!$A:$A,0)),"ID no existe"))</f>
        <v/>
      </c>
      <c r="E8" s="15" t="str">
        <f aca="false">IF(B8="","",DATE(YEAR(B8),MONTH(B8),1))</f>
        <v/>
      </c>
      <c r="F8" s="9"/>
      <c r="G8" s="6"/>
      <c r="H8" s="6"/>
      <c r="I8" s="6"/>
    </row>
    <row r="9" customFormat="false" ht="15" hidden="false" customHeight="false" outlineLevel="0" collapsed="false">
      <c r="A9" s="6"/>
      <c r="B9" s="10"/>
      <c r="C9" s="6"/>
      <c r="D9" s="14" t="str">
        <f aca="false">IF(C9="","",IFERROR(INDEX(Pacientes!$Q:$Q,MATCH(C9,Pacientes!$A:$A,0)),"ID no existe"))</f>
        <v/>
      </c>
      <c r="E9" s="15" t="str">
        <f aca="false">IF(B9="","",DATE(YEAR(B9),MONTH(B9),1))</f>
        <v/>
      </c>
      <c r="F9" s="9"/>
      <c r="G9" s="6"/>
      <c r="H9" s="6"/>
      <c r="I9" s="6"/>
    </row>
    <row r="10" customFormat="false" ht="15" hidden="false" customHeight="false" outlineLevel="0" collapsed="false">
      <c r="A10" s="6"/>
      <c r="B10" s="10"/>
      <c r="C10" s="6"/>
      <c r="D10" s="14" t="str">
        <f aca="false">IF(C10="","",IFERROR(INDEX(Pacientes!$Q:$Q,MATCH(C10,Pacientes!$A:$A,0)),"ID no existe"))</f>
        <v/>
      </c>
      <c r="E10" s="15" t="str">
        <f aca="false">IF(B10="","",DATE(YEAR(B10),MONTH(B10),1))</f>
        <v/>
      </c>
      <c r="F10" s="9"/>
      <c r="G10" s="6"/>
      <c r="H10" s="6"/>
      <c r="I10" s="6"/>
    </row>
    <row r="11" customFormat="false" ht="15" hidden="false" customHeight="false" outlineLevel="0" collapsed="false">
      <c r="A11" s="6"/>
      <c r="B11" s="10"/>
      <c r="C11" s="6"/>
      <c r="D11" s="14" t="str">
        <f aca="false">IF(C11="","",IFERROR(INDEX(Pacientes!$Q:$Q,MATCH(C11,Pacientes!$A:$A,0)),"ID no existe"))</f>
        <v/>
      </c>
      <c r="E11" s="15" t="str">
        <f aca="false">IF(B11="","",DATE(YEAR(B11),MONTH(B11),1))</f>
        <v/>
      </c>
      <c r="F11" s="9"/>
      <c r="G11" s="6"/>
      <c r="H11" s="6"/>
      <c r="I11" s="6"/>
    </row>
    <row r="12" customFormat="false" ht="15" hidden="false" customHeight="false" outlineLevel="0" collapsed="false">
      <c r="A12" s="6"/>
      <c r="B12" s="10"/>
      <c r="C12" s="6"/>
      <c r="D12" s="14" t="str">
        <f aca="false">IF(C12="","",IFERROR(INDEX(Pacientes!$Q:$Q,MATCH(C12,Pacientes!$A:$A,0)),"ID no existe"))</f>
        <v/>
      </c>
      <c r="E12" s="15" t="str">
        <f aca="false">IF(B12="","",DATE(YEAR(B12),MONTH(B12),1))</f>
        <v/>
      </c>
      <c r="F12" s="9"/>
      <c r="G12" s="6"/>
      <c r="H12" s="6"/>
      <c r="I12" s="6"/>
    </row>
    <row r="13" customFormat="false" ht="15" hidden="false" customHeight="false" outlineLevel="0" collapsed="false">
      <c r="A13" s="6"/>
      <c r="B13" s="10"/>
      <c r="C13" s="6"/>
      <c r="D13" s="14" t="str">
        <f aca="false">IF(C13="","",IFERROR(INDEX(Pacientes!$Q:$Q,MATCH(C13,Pacientes!$A:$A,0)),"ID no existe"))</f>
        <v/>
      </c>
      <c r="E13" s="15" t="str">
        <f aca="false">IF(B13="","",DATE(YEAR(B13),MONTH(B13),1))</f>
        <v/>
      </c>
      <c r="F13" s="9"/>
      <c r="G13" s="6"/>
      <c r="H13" s="6"/>
      <c r="I13" s="6"/>
    </row>
    <row r="14" customFormat="false" ht="15" hidden="false" customHeight="false" outlineLevel="0" collapsed="false">
      <c r="A14" s="6"/>
      <c r="B14" s="10"/>
      <c r="C14" s="6"/>
      <c r="D14" s="14" t="str">
        <f aca="false">IF(C14="","",IFERROR(INDEX(Pacientes!$Q:$Q,MATCH(C14,Pacientes!$A:$A,0)),"ID no existe"))</f>
        <v/>
      </c>
      <c r="E14" s="15" t="str">
        <f aca="false">IF(B14="","",DATE(YEAR(B14),MONTH(B14),1))</f>
        <v/>
      </c>
      <c r="F14" s="9"/>
      <c r="G14" s="6"/>
      <c r="H14" s="6"/>
      <c r="I14" s="6"/>
    </row>
    <row r="15" customFormat="false" ht="15" hidden="false" customHeight="false" outlineLevel="0" collapsed="false">
      <c r="A15" s="6"/>
      <c r="B15" s="10"/>
      <c r="C15" s="6"/>
      <c r="D15" s="14" t="str">
        <f aca="false">IF(C15="","",IFERROR(INDEX(Pacientes!$Q:$Q,MATCH(C15,Pacientes!$A:$A,0)),"ID no existe"))</f>
        <v/>
      </c>
      <c r="E15" s="15" t="str">
        <f aca="false">IF(B15="","",DATE(YEAR(B15),MONTH(B15),1))</f>
        <v/>
      </c>
      <c r="F15" s="9"/>
      <c r="G15" s="6"/>
      <c r="H15" s="6"/>
      <c r="I15" s="6"/>
    </row>
    <row r="16" customFormat="false" ht="15" hidden="false" customHeight="false" outlineLevel="0" collapsed="false">
      <c r="A16" s="6"/>
      <c r="B16" s="10"/>
      <c r="C16" s="6"/>
      <c r="D16" s="14" t="str">
        <f aca="false">IF(C16="","",IFERROR(INDEX(Pacientes!$Q:$Q,MATCH(C16,Pacientes!$A:$A,0)),"ID no existe"))</f>
        <v/>
      </c>
      <c r="E16" s="15" t="str">
        <f aca="false">IF(B16="","",DATE(YEAR(B16),MONTH(B16),1))</f>
        <v/>
      </c>
      <c r="F16" s="9"/>
      <c r="G16" s="6"/>
      <c r="H16" s="6"/>
      <c r="I16" s="6"/>
    </row>
    <row r="17" customFormat="false" ht="15" hidden="false" customHeight="false" outlineLevel="0" collapsed="false">
      <c r="A17" s="6"/>
      <c r="B17" s="10"/>
      <c r="C17" s="6"/>
      <c r="D17" s="14" t="str">
        <f aca="false">IF(C17="","",IFERROR(INDEX(Pacientes!$Q:$Q,MATCH(C17,Pacientes!$A:$A,0)),"ID no existe"))</f>
        <v/>
      </c>
      <c r="E17" s="15" t="str">
        <f aca="false">IF(B17="","",DATE(YEAR(B17),MONTH(B17),1))</f>
        <v/>
      </c>
      <c r="F17" s="9"/>
      <c r="G17" s="6"/>
      <c r="H17" s="6"/>
      <c r="I17" s="6"/>
    </row>
    <row r="18" customFormat="false" ht="15" hidden="false" customHeight="false" outlineLevel="0" collapsed="false">
      <c r="A18" s="6"/>
      <c r="B18" s="10"/>
      <c r="C18" s="6"/>
      <c r="D18" s="14" t="str">
        <f aca="false">IF(C18="","",IFERROR(INDEX(Pacientes!$Q:$Q,MATCH(C18,Pacientes!$A:$A,0)),"ID no existe"))</f>
        <v/>
      </c>
      <c r="E18" s="15" t="str">
        <f aca="false">IF(B18="","",DATE(YEAR(B18),MONTH(B18),1))</f>
        <v/>
      </c>
      <c r="F18" s="9"/>
      <c r="G18" s="6"/>
      <c r="H18" s="6"/>
      <c r="I18" s="6"/>
    </row>
    <row r="19" customFormat="false" ht="15" hidden="false" customHeight="false" outlineLevel="0" collapsed="false">
      <c r="A19" s="6"/>
      <c r="B19" s="10"/>
      <c r="C19" s="6"/>
      <c r="D19" s="14" t="str">
        <f aca="false">IF(C19="","",IFERROR(INDEX(Pacientes!$Q:$Q,MATCH(C19,Pacientes!$A:$A,0)),"ID no existe"))</f>
        <v/>
      </c>
      <c r="E19" s="15" t="str">
        <f aca="false">IF(B19="","",DATE(YEAR(B19),MONTH(B19),1))</f>
        <v/>
      </c>
      <c r="F19" s="9"/>
      <c r="G19" s="6"/>
      <c r="H19" s="6"/>
      <c r="I19" s="6"/>
    </row>
    <row r="20" customFormat="false" ht="15" hidden="false" customHeight="false" outlineLevel="0" collapsed="false">
      <c r="A20" s="6"/>
      <c r="B20" s="10"/>
      <c r="C20" s="6"/>
      <c r="D20" s="14" t="str">
        <f aca="false">IF(C20="","",IFERROR(INDEX(Pacientes!$Q:$Q,MATCH(C20,Pacientes!$A:$A,0)),"ID no existe"))</f>
        <v/>
      </c>
      <c r="E20" s="15" t="str">
        <f aca="false">IF(B20="","",DATE(YEAR(B20),MONTH(B20),1))</f>
        <v/>
      </c>
      <c r="F20" s="9"/>
      <c r="G20" s="6"/>
      <c r="H20" s="6"/>
      <c r="I20" s="6"/>
    </row>
    <row r="21" customFormat="false" ht="15" hidden="false" customHeight="false" outlineLevel="0" collapsed="false">
      <c r="A21" s="6"/>
      <c r="B21" s="10"/>
      <c r="C21" s="6"/>
      <c r="D21" s="14" t="str">
        <f aca="false">IF(C21="","",IFERROR(INDEX(Pacientes!$Q:$Q,MATCH(C21,Pacientes!$A:$A,0)),"ID no existe"))</f>
        <v/>
      </c>
      <c r="E21" s="15" t="str">
        <f aca="false">IF(B21="","",DATE(YEAR(B21),MONTH(B21),1))</f>
        <v/>
      </c>
      <c r="F21" s="9"/>
      <c r="G21" s="6"/>
      <c r="H21" s="6"/>
      <c r="I21" s="6"/>
    </row>
    <row r="22" customFormat="false" ht="15" hidden="false" customHeight="false" outlineLevel="0" collapsed="false">
      <c r="A22" s="6"/>
      <c r="B22" s="10"/>
      <c r="C22" s="6"/>
      <c r="D22" s="14" t="str">
        <f aca="false">IF(C22="","",IFERROR(INDEX(Pacientes!$Q:$Q,MATCH(C22,Pacientes!$A:$A,0)),"ID no existe"))</f>
        <v/>
      </c>
      <c r="E22" s="15" t="str">
        <f aca="false">IF(B22="","",DATE(YEAR(B22),MONTH(B22),1))</f>
        <v/>
      </c>
      <c r="F22" s="9"/>
      <c r="G22" s="6"/>
      <c r="H22" s="6"/>
      <c r="I22" s="6"/>
    </row>
    <row r="23" customFormat="false" ht="15" hidden="false" customHeight="false" outlineLevel="0" collapsed="false">
      <c r="A23" s="6"/>
      <c r="B23" s="10"/>
      <c r="C23" s="6"/>
      <c r="D23" s="14" t="str">
        <f aca="false">IF(C23="","",IFERROR(INDEX(Pacientes!$Q:$Q,MATCH(C23,Pacientes!$A:$A,0)),"ID no existe"))</f>
        <v/>
      </c>
      <c r="E23" s="15" t="str">
        <f aca="false">IF(B23="","",DATE(YEAR(B23),MONTH(B23),1))</f>
        <v/>
      </c>
      <c r="F23" s="9"/>
      <c r="G23" s="6"/>
      <c r="H23" s="6"/>
      <c r="I23" s="6"/>
    </row>
    <row r="24" customFormat="false" ht="15" hidden="false" customHeight="false" outlineLevel="0" collapsed="false">
      <c r="A24" s="6"/>
      <c r="B24" s="10"/>
      <c r="C24" s="6"/>
      <c r="D24" s="14" t="str">
        <f aca="false">IF(C24="","",IFERROR(INDEX(Pacientes!$Q:$Q,MATCH(C24,Pacientes!$A:$A,0)),"ID no existe"))</f>
        <v/>
      </c>
      <c r="E24" s="15" t="str">
        <f aca="false">IF(B24="","",DATE(YEAR(B24),MONTH(B24),1))</f>
        <v/>
      </c>
      <c r="F24" s="9"/>
      <c r="G24" s="6"/>
      <c r="H24" s="6"/>
      <c r="I24" s="6"/>
    </row>
    <row r="25" customFormat="false" ht="15" hidden="false" customHeight="false" outlineLevel="0" collapsed="false">
      <c r="A25" s="6"/>
      <c r="B25" s="10"/>
      <c r="C25" s="6"/>
      <c r="D25" s="14" t="str">
        <f aca="false">IF(C25="","",IFERROR(INDEX(Pacientes!$Q:$Q,MATCH(C25,Pacientes!$A:$A,0)),"ID no existe"))</f>
        <v/>
      </c>
      <c r="E25" s="15" t="str">
        <f aca="false">IF(B25="","",DATE(YEAR(B25),MONTH(B25),1))</f>
        <v/>
      </c>
      <c r="F25" s="9"/>
      <c r="G25" s="6"/>
      <c r="H25" s="6"/>
      <c r="I25" s="6"/>
    </row>
    <row r="26" customFormat="false" ht="15" hidden="false" customHeight="false" outlineLevel="0" collapsed="false">
      <c r="A26" s="6"/>
      <c r="B26" s="10"/>
      <c r="C26" s="6"/>
      <c r="D26" s="14" t="str">
        <f aca="false">IF(C26="","",IFERROR(INDEX(Pacientes!$Q:$Q,MATCH(C26,Pacientes!$A:$A,0)),"ID no existe"))</f>
        <v/>
      </c>
      <c r="E26" s="15" t="str">
        <f aca="false">IF(B26="","",DATE(YEAR(B26),MONTH(B26),1))</f>
        <v/>
      </c>
      <c r="F26" s="9"/>
      <c r="G26" s="6"/>
      <c r="H26" s="6"/>
      <c r="I26" s="6"/>
    </row>
    <row r="27" customFormat="false" ht="15" hidden="false" customHeight="false" outlineLevel="0" collapsed="false">
      <c r="A27" s="6"/>
      <c r="B27" s="10"/>
      <c r="C27" s="6"/>
      <c r="D27" s="14" t="str">
        <f aca="false">IF(C27="","",IFERROR(INDEX(Pacientes!$Q:$Q,MATCH(C27,Pacientes!$A:$A,0)),"ID no existe"))</f>
        <v/>
      </c>
      <c r="E27" s="15" t="str">
        <f aca="false">IF(B27="","",DATE(YEAR(B27),MONTH(B27),1))</f>
        <v/>
      </c>
      <c r="F27" s="9"/>
      <c r="G27" s="6"/>
      <c r="H27" s="6"/>
      <c r="I27" s="6"/>
    </row>
    <row r="28" customFormat="false" ht="15" hidden="false" customHeight="false" outlineLevel="0" collapsed="false">
      <c r="A28" s="6"/>
      <c r="B28" s="10"/>
      <c r="C28" s="6"/>
      <c r="D28" s="14" t="str">
        <f aca="false">IF(C28="","",IFERROR(INDEX(Pacientes!$Q:$Q,MATCH(C28,Pacientes!$A:$A,0)),"ID no existe"))</f>
        <v/>
      </c>
      <c r="E28" s="15" t="str">
        <f aca="false">IF(B28="","",DATE(YEAR(B28),MONTH(B28),1))</f>
        <v/>
      </c>
      <c r="F28" s="9"/>
      <c r="G28" s="6"/>
      <c r="H28" s="6"/>
      <c r="I28" s="6"/>
    </row>
    <row r="29" customFormat="false" ht="15" hidden="false" customHeight="false" outlineLevel="0" collapsed="false">
      <c r="A29" s="6"/>
      <c r="B29" s="10"/>
      <c r="C29" s="6"/>
      <c r="D29" s="14" t="str">
        <f aca="false">IF(C29="","",IFERROR(INDEX(Pacientes!$Q:$Q,MATCH(C29,Pacientes!$A:$A,0)),"ID no existe"))</f>
        <v/>
      </c>
      <c r="E29" s="15" t="str">
        <f aca="false">IF(B29="","",DATE(YEAR(B29),MONTH(B29),1))</f>
        <v/>
      </c>
      <c r="F29" s="9"/>
      <c r="G29" s="6"/>
      <c r="H29" s="6"/>
      <c r="I29" s="6"/>
    </row>
    <row r="30" customFormat="false" ht="15" hidden="false" customHeight="false" outlineLevel="0" collapsed="false">
      <c r="A30" s="6"/>
      <c r="B30" s="10"/>
      <c r="C30" s="6"/>
      <c r="D30" s="14" t="str">
        <f aca="false">IF(C30="","",IFERROR(INDEX(Pacientes!$Q:$Q,MATCH(C30,Pacientes!$A:$A,0)),"ID no existe"))</f>
        <v/>
      </c>
      <c r="E30" s="15" t="str">
        <f aca="false">IF(B30="","",DATE(YEAR(B30),MONTH(B30),1))</f>
        <v/>
      </c>
      <c r="F30" s="9"/>
      <c r="G30" s="6"/>
      <c r="H30" s="6"/>
      <c r="I30" s="6"/>
    </row>
    <row r="31" customFormat="false" ht="15" hidden="false" customHeight="false" outlineLevel="0" collapsed="false">
      <c r="A31" s="6"/>
      <c r="B31" s="10"/>
      <c r="C31" s="6"/>
      <c r="D31" s="14" t="str">
        <f aca="false">IF(C31="","",IFERROR(INDEX(Pacientes!$Q:$Q,MATCH(C31,Pacientes!$A:$A,0)),"ID no existe"))</f>
        <v/>
      </c>
      <c r="E31" s="15" t="str">
        <f aca="false">IF(B31="","",DATE(YEAR(B31),MONTH(B31),1))</f>
        <v/>
      </c>
      <c r="F31" s="9"/>
      <c r="G31" s="6"/>
      <c r="H31" s="6"/>
      <c r="I31" s="6"/>
    </row>
    <row r="32" customFormat="false" ht="15" hidden="false" customHeight="false" outlineLevel="0" collapsed="false">
      <c r="A32" s="6"/>
      <c r="B32" s="10"/>
      <c r="C32" s="6"/>
      <c r="D32" s="14" t="str">
        <f aca="false">IF(C32="","",IFERROR(INDEX(Pacientes!$Q:$Q,MATCH(C32,Pacientes!$A:$A,0)),"ID no existe"))</f>
        <v/>
      </c>
      <c r="E32" s="15" t="str">
        <f aca="false">IF(B32="","",DATE(YEAR(B32),MONTH(B32),1))</f>
        <v/>
      </c>
      <c r="F32" s="9"/>
      <c r="G32" s="6"/>
      <c r="H32" s="6"/>
      <c r="I32" s="6"/>
    </row>
    <row r="33" customFormat="false" ht="15" hidden="false" customHeight="false" outlineLevel="0" collapsed="false">
      <c r="A33" s="6"/>
      <c r="B33" s="10"/>
      <c r="C33" s="6"/>
      <c r="D33" s="14" t="str">
        <f aca="false">IF(C33="","",IFERROR(INDEX(Pacientes!$Q:$Q,MATCH(C33,Pacientes!$A:$A,0)),"ID no existe"))</f>
        <v/>
      </c>
      <c r="E33" s="15" t="str">
        <f aca="false">IF(B33="","",DATE(YEAR(B33),MONTH(B33),1))</f>
        <v/>
      </c>
      <c r="F33" s="9"/>
      <c r="G33" s="6"/>
      <c r="H33" s="6"/>
      <c r="I33" s="6"/>
    </row>
    <row r="34" customFormat="false" ht="15" hidden="false" customHeight="false" outlineLevel="0" collapsed="false">
      <c r="A34" s="6"/>
      <c r="B34" s="10"/>
      <c r="C34" s="6"/>
      <c r="D34" s="14" t="str">
        <f aca="false">IF(C34="","",IFERROR(INDEX(Pacientes!$Q:$Q,MATCH(C34,Pacientes!$A:$A,0)),"ID no existe"))</f>
        <v/>
      </c>
      <c r="E34" s="15" t="str">
        <f aca="false">IF(B34="","",DATE(YEAR(B34),MONTH(B34),1))</f>
        <v/>
      </c>
      <c r="F34" s="9"/>
      <c r="G34" s="6"/>
      <c r="H34" s="6"/>
      <c r="I34" s="6"/>
    </row>
    <row r="35" customFormat="false" ht="15" hidden="false" customHeight="false" outlineLevel="0" collapsed="false">
      <c r="A35" s="6"/>
      <c r="B35" s="10"/>
      <c r="C35" s="6"/>
      <c r="D35" s="14" t="str">
        <f aca="false">IF(C35="","",IFERROR(INDEX(Pacientes!$Q:$Q,MATCH(C35,Pacientes!$A:$A,0)),"ID no existe"))</f>
        <v/>
      </c>
      <c r="E35" s="15" t="str">
        <f aca="false">IF(B35="","",DATE(YEAR(B35),MONTH(B35),1))</f>
        <v/>
      </c>
      <c r="F35" s="9"/>
      <c r="G35" s="6"/>
      <c r="H35" s="6"/>
      <c r="I35" s="6"/>
    </row>
    <row r="36" customFormat="false" ht="15" hidden="false" customHeight="false" outlineLevel="0" collapsed="false">
      <c r="A36" s="6"/>
      <c r="B36" s="10"/>
      <c r="C36" s="6"/>
      <c r="D36" s="14" t="str">
        <f aca="false">IF(C36="","",IFERROR(INDEX(Pacientes!$Q:$Q,MATCH(C36,Pacientes!$A:$A,0)),"ID no existe"))</f>
        <v/>
      </c>
      <c r="E36" s="15" t="str">
        <f aca="false">IF(B36="","",DATE(YEAR(B36),MONTH(B36),1))</f>
        <v/>
      </c>
      <c r="F36" s="9"/>
      <c r="G36" s="6"/>
      <c r="H36" s="6"/>
      <c r="I36" s="6"/>
    </row>
    <row r="37" customFormat="false" ht="15" hidden="false" customHeight="false" outlineLevel="0" collapsed="false">
      <c r="A37" s="6"/>
      <c r="B37" s="10"/>
      <c r="C37" s="6"/>
      <c r="D37" s="14" t="str">
        <f aca="false">IF(C37="","",IFERROR(INDEX(Pacientes!$Q:$Q,MATCH(C37,Pacientes!$A:$A,0)),"ID no existe"))</f>
        <v/>
      </c>
      <c r="E37" s="15" t="str">
        <f aca="false">IF(B37="","",DATE(YEAR(B37),MONTH(B37),1))</f>
        <v/>
      </c>
      <c r="F37" s="9"/>
      <c r="G37" s="6"/>
      <c r="H37" s="6"/>
      <c r="I37" s="6"/>
    </row>
    <row r="38" customFormat="false" ht="15" hidden="false" customHeight="false" outlineLevel="0" collapsed="false">
      <c r="A38" s="6"/>
      <c r="B38" s="10"/>
      <c r="C38" s="6"/>
      <c r="D38" s="14" t="str">
        <f aca="false">IF(C38="","",IFERROR(INDEX(Pacientes!$Q:$Q,MATCH(C38,Pacientes!$A:$A,0)),"ID no existe"))</f>
        <v/>
      </c>
      <c r="E38" s="15" t="str">
        <f aca="false">IF(B38="","",DATE(YEAR(B38),MONTH(B38),1))</f>
        <v/>
      </c>
      <c r="F38" s="9"/>
      <c r="G38" s="6"/>
      <c r="H38" s="6"/>
      <c r="I38" s="6"/>
    </row>
    <row r="39" customFormat="false" ht="15" hidden="false" customHeight="false" outlineLevel="0" collapsed="false">
      <c r="A39" s="6"/>
      <c r="B39" s="10"/>
      <c r="C39" s="6"/>
      <c r="D39" s="14" t="str">
        <f aca="false">IF(C39="","",IFERROR(INDEX(Pacientes!$Q:$Q,MATCH(C39,Pacientes!$A:$A,0)),"ID no existe"))</f>
        <v/>
      </c>
      <c r="E39" s="15" t="str">
        <f aca="false">IF(B39="","",DATE(YEAR(B39),MONTH(B39),1))</f>
        <v/>
      </c>
      <c r="F39" s="9"/>
      <c r="G39" s="6"/>
      <c r="H39" s="6"/>
      <c r="I39" s="6"/>
    </row>
    <row r="40" customFormat="false" ht="15" hidden="false" customHeight="false" outlineLevel="0" collapsed="false">
      <c r="A40" s="6"/>
      <c r="B40" s="10"/>
      <c r="C40" s="6"/>
      <c r="D40" s="14" t="str">
        <f aca="false">IF(C40="","",IFERROR(INDEX(Pacientes!$Q:$Q,MATCH(C40,Pacientes!$A:$A,0)),"ID no existe"))</f>
        <v/>
      </c>
      <c r="E40" s="15" t="str">
        <f aca="false">IF(B40="","",DATE(YEAR(B40),MONTH(B40),1))</f>
        <v/>
      </c>
      <c r="F40" s="9"/>
      <c r="G40" s="6"/>
      <c r="H40" s="6"/>
      <c r="I40" s="6"/>
    </row>
    <row r="41" customFormat="false" ht="15" hidden="false" customHeight="false" outlineLevel="0" collapsed="false">
      <c r="A41" s="6"/>
      <c r="B41" s="10"/>
      <c r="C41" s="6"/>
      <c r="D41" s="14" t="str">
        <f aca="false">IF(C41="","",IFERROR(INDEX(Pacientes!$Q:$Q,MATCH(C41,Pacientes!$A:$A,0)),"ID no existe"))</f>
        <v/>
      </c>
      <c r="E41" s="15" t="str">
        <f aca="false">IF(B41="","",DATE(YEAR(B41),MONTH(B41),1))</f>
        <v/>
      </c>
      <c r="F41" s="9"/>
      <c r="G41" s="6"/>
      <c r="H41" s="6"/>
      <c r="I41" s="6"/>
    </row>
    <row r="42" customFormat="false" ht="15" hidden="false" customHeight="false" outlineLevel="0" collapsed="false">
      <c r="A42" s="6"/>
      <c r="B42" s="10"/>
      <c r="C42" s="6"/>
      <c r="D42" s="14" t="str">
        <f aca="false">IF(C42="","",IFERROR(INDEX(Pacientes!$Q:$Q,MATCH(C42,Pacientes!$A:$A,0)),"ID no existe"))</f>
        <v/>
      </c>
      <c r="E42" s="15" t="str">
        <f aca="false">IF(B42="","",DATE(YEAR(B42),MONTH(B42),1))</f>
        <v/>
      </c>
      <c r="F42" s="9"/>
      <c r="G42" s="6"/>
      <c r="H42" s="6"/>
      <c r="I42" s="6"/>
    </row>
    <row r="43" customFormat="false" ht="15" hidden="false" customHeight="false" outlineLevel="0" collapsed="false">
      <c r="A43" s="6"/>
      <c r="B43" s="10"/>
      <c r="C43" s="6"/>
      <c r="D43" s="14" t="str">
        <f aca="false">IF(C43="","",IFERROR(INDEX(Pacientes!$Q:$Q,MATCH(C43,Pacientes!$A:$A,0)),"ID no existe"))</f>
        <v/>
      </c>
      <c r="E43" s="15" t="str">
        <f aca="false">IF(B43="","",DATE(YEAR(B43),MONTH(B43),1))</f>
        <v/>
      </c>
      <c r="F43" s="9"/>
      <c r="G43" s="6"/>
      <c r="H43" s="6"/>
      <c r="I43" s="6"/>
    </row>
    <row r="44" customFormat="false" ht="15" hidden="false" customHeight="false" outlineLevel="0" collapsed="false">
      <c r="A44" s="6"/>
      <c r="B44" s="10"/>
      <c r="C44" s="6"/>
      <c r="D44" s="14" t="str">
        <f aca="false">IF(C44="","",IFERROR(INDEX(Pacientes!$Q:$Q,MATCH(C44,Pacientes!$A:$A,0)),"ID no existe"))</f>
        <v/>
      </c>
      <c r="E44" s="15" t="str">
        <f aca="false">IF(B44="","",DATE(YEAR(B44),MONTH(B44),1))</f>
        <v/>
      </c>
      <c r="F44" s="9"/>
      <c r="G44" s="6"/>
      <c r="H44" s="6"/>
      <c r="I44" s="6"/>
    </row>
    <row r="45" customFormat="false" ht="15" hidden="false" customHeight="false" outlineLevel="0" collapsed="false">
      <c r="A45" s="6"/>
      <c r="B45" s="10"/>
      <c r="C45" s="6"/>
      <c r="D45" s="14" t="str">
        <f aca="false">IF(C45="","",IFERROR(INDEX(Pacientes!$Q:$Q,MATCH(C45,Pacientes!$A:$A,0)),"ID no existe"))</f>
        <v/>
      </c>
      <c r="E45" s="15" t="str">
        <f aca="false">IF(B45="","",DATE(YEAR(B45),MONTH(B45),1))</f>
        <v/>
      </c>
      <c r="F45" s="9"/>
      <c r="G45" s="6"/>
      <c r="H45" s="6"/>
      <c r="I45" s="6"/>
    </row>
    <row r="46" customFormat="false" ht="15" hidden="false" customHeight="false" outlineLevel="0" collapsed="false">
      <c r="A46" s="6"/>
      <c r="B46" s="10"/>
      <c r="C46" s="6"/>
      <c r="D46" s="14" t="str">
        <f aca="false">IF(C46="","",IFERROR(INDEX(Pacientes!$Q:$Q,MATCH(C46,Pacientes!$A:$A,0)),"ID no existe"))</f>
        <v/>
      </c>
      <c r="E46" s="15" t="str">
        <f aca="false">IF(B46="","",DATE(YEAR(B46),MONTH(B46),1))</f>
        <v/>
      </c>
      <c r="F46" s="9"/>
      <c r="G46" s="6"/>
      <c r="H46" s="6"/>
      <c r="I46" s="6"/>
    </row>
    <row r="47" customFormat="false" ht="15" hidden="false" customHeight="false" outlineLevel="0" collapsed="false">
      <c r="A47" s="6"/>
      <c r="B47" s="10"/>
      <c r="C47" s="6"/>
      <c r="D47" s="14" t="str">
        <f aca="false">IF(C47="","",IFERROR(INDEX(Pacientes!$Q:$Q,MATCH(C47,Pacientes!$A:$A,0)),"ID no existe"))</f>
        <v/>
      </c>
      <c r="E47" s="15" t="str">
        <f aca="false">IF(B47="","",DATE(YEAR(B47),MONTH(B47),1))</f>
        <v/>
      </c>
      <c r="F47" s="9"/>
      <c r="G47" s="6"/>
      <c r="H47" s="6"/>
      <c r="I47" s="6"/>
    </row>
    <row r="48" customFormat="false" ht="15" hidden="false" customHeight="false" outlineLevel="0" collapsed="false">
      <c r="A48" s="6"/>
      <c r="B48" s="10"/>
      <c r="C48" s="6"/>
      <c r="D48" s="14" t="str">
        <f aca="false">IF(C48="","",IFERROR(INDEX(Pacientes!$Q:$Q,MATCH(C48,Pacientes!$A:$A,0)),"ID no existe"))</f>
        <v/>
      </c>
      <c r="E48" s="15" t="str">
        <f aca="false">IF(B48="","",DATE(YEAR(B48),MONTH(B48),1))</f>
        <v/>
      </c>
      <c r="F48" s="9"/>
      <c r="G48" s="6"/>
      <c r="H48" s="6"/>
      <c r="I48" s="6"/>
    </row>
    <row r="49" customFormat="false" ht="15" hidden="false" customHeight="false" outlineLevel="0" collapsed="false">
      <c r="A49" s="6"/>
      <c r="B49" s="10"/>
      <c r="C49" s="6"/>
      <c r="D49" s="14" t="str">
        <f aca="false">IF(C49="","",IFERROR(INDEX(Pacientes!$Q:$Q,MATCH(C49,Pacientes!$A:$A,0)),"ID no existe"))</f>
        <v/>
      </c>
      <c r="E49" s="15" t="str">
        <f aca="false">IF(B49="","",DATE(YEAR(B49),MONTH(B49),1))</f>
        <v/>
      </c>
      <c r="F49" s="9"/>
      <c r="G49" s="6"/>
      <c r="H49" s="6"/>
      <c r="I49" s="6"/>
    </row>
    <row r="50" customFormat="false" ht="15" hidden="false" customHeight="false" outlineLevel="0" collapsed="false">
      <c r="A50" s="6"/>
      <c r="B50" s="10"/>
      <c r="C50" s="6"/>
      <c r="D50" s="14" t="str">
        <f aca="false">IF(C50="","",IFERROR(INDEX(Pacientes!$Q:$Q,MATCH(C50,Pacientes!$A:$A,0)),"ID no existe"))</f>
        <v/>
      </c>
      <c r="E50" s="15" t="str">
        <f aca="false">IF(B50="","",DATE(YEAR(B50),MONTH(B50),1))</f>
        <v/>
      </c>
      <c r="F50" s="9"/>
      <c r="G50" s="6"/>
      <c r="H50" s="6"/>
      <c r="I50" s="6"/>
    </row>
    <row r="51" customFormat="false" ht="15" hidden="false" customHeight="false" outlineLevel="0" collapsed="false">
      <c r="A51" s="6"/>
      <c r="B51" s="10"/>
      <c r="C51" s="6"/>
      <c r="D51" s="14" t="str">
        <f aca="false">IF(C51="","",IFERROR(INDEX(Pacientes!$Q:$Q,MATCH(C51,Pacientes!$A:$A,0)),"ID no existe"))</f>
        <v/>
      </c>
      <c r="E51" s="15" t="str">
        <f aca="false">IF(B51="","",DATE(YEAR(B51),MONTH(B51),1))</f>
        <v/>
      </c>
      <c r="F51" s="9"/>
      <c r="G51" s="6"/>
      <c r="H51" s="6"/>
      <c r="I51" s="6"/>
    </row>
    <row r="52" customFormat="false" ht="15" hidden="false" customHeight="false" outlineLevel="0" collapsed="false">
      <c r="A52" s="6"/>
      <c r="B52" s="10"/>
      <c r="C52" s="6"/>
      <c r="D52" s="14" t="str">
        <f aca="false">IF(C52="","",IFERROR(INDEX(Pacientes!$Q:$Q,MATCH(C52,Pacientes!$A:$A,0)),"ID no existe"))</f>
        <v/>
      </c>
      <c r="E52" s="15" t="str">
        <f aca="false">IF(B52="","",DATE(YEAR(B52),MONTH(B52),1))</f>
        <v/>
      </c>
      <c r="F52" s="9"/>
      <c r="G52" s="6"/>
      <c r="H52" s="6"/>
      <c r="I52" s="6"/>
    </row>
    <row r="53" customFormat="false" ht="15" hidden="false" customHeight="false" outlineLevel="0" collapsed="false">
      <c r="A53" s="6"/>
      <c r="B53" s="10"/>
      <c r="C53" s="6"/>
      <c r="D53" s="14" t="str">
        <f aca="false">IF(C53="","",IFERROR(INDEX(Pacientes!$Q:$Q,MATCH(C53,Pacientes!$A:$A,0)),"ID no existe"))</f>
        <v/>
      </c>
      <c r="E53" s="15" t="str">
        <f aca="false">IF(B53="","",DATE(YEAR(B53),MONTH(B53),1))</f>
        <v/>
      </c>
      <c r="F53" s="9"/>
      <c r="G53" s="6"/>
      <c r="H53" s="6"/>
      <c r="I53" s="6"/>
    </row>
    <row r="54" customFormat="false" ht="15" hidden="false" customHeight="false" outlineLevel="0" collapsed="false">
      <c r="A54" s="6"/>
      <c r="B54" s="10"/>
      <c r="C54" s="6"/>
      <c r="D54" s="14" t="str">
        <f aca="false">IF(C54="","",IFERROR(INDEX(Pacientes!$Q:$Q,MATCH(C54,Pacientes!$A:$A,0)),"ID no existe"))</f>
        <v/>
      </c>
      <c r="E54" s="15" t="str">
        <f aca="false">IF(B54="","",DATE(YEAR(B54),MONTH(B54),1))</f>
        <v/>
      </c>
      <c r="F54" s="9"/>
      <c r="G54" s="6"/>
      <c r="H54" s="6"/>
      <c r="I54" s="6"/>
    </row>
    <row r="55" customFormat="false" ht="15" hidden="false" customHeight="false" outlineLevel="0" collapsed="false">
      <c r="A55" s="6"/>
      <c r="B55" s="10"/>
      <c r="C55" s="6"/>
      <c r="D55" s="14" t="str">
        <f aca="false">IF(C55="","",IFERROR(INDEX(Pacientes!$Q:$Q,MATCH(C55,Pacientes!$A:$A,0)),"ID no existe"))</f>
        <v/>
      </c>
      <c r="E55" s="15" t="str">
        <f aca="false">IF(B55="","",DATE(YEAR(B55),MONTH(B55),1))</f>
        <v/>
      </c>
      <c r="F55" s="9"/>
      <c r="G55" s="6"/>
      <c r="H55" s="6"/>
      <c r="I55" s="6"/>
    </row>
    <row r="56" customFormat="false" ht="15" hidden="false" customHeight="false" outlineLevel="0" collapsed="false">
      <c r="A56" s="6"/>
      <c r="B56" s="10"/>
      <c r="C56" s="6"/>
      <c r="D56" s="14" t="str">
        <f aca="false">IF(C56="","",IFERROR(INDEX(Pacientes!$Q:$Q,MATCH(C56,Pacientes!$A:$A,0)),"ID no existe"))</f>
        <v/>
      </c>
      <c r="E56" s="15" t="str">
        <f aca="false">IF(B56="","",DATE(YEAR(B56),MONTH(B56),1))</f>
        <v/>
      </c>
      <c r="F56" s="9"/>
      <c r="G56" s="6"/>
      <c r="H56" s="6"/>
      <c r="I56" s="6"/>
    </row>
    <row r="57" customFormat="false" ht="15" hidden="false" customHeight="false" outlineLevel="0" collapsed="false">
      <c r="A57" s="6"/>
      <c r="B57" s="10"/>
      <c r="C57" s="6"/>
      <c r="D57" s="14" t="str">
        <f aca="false">IF(C57="","",IFERROR(INDEX(Pacientes!$Q:$Q,MATCH(C57,Pacientes!$A:$A,0)),"ID no existe"))</f>
        <v/>
      </c>
      <c r="E57" s="15" t="str">
        <f aca="false">IF(B57="","",DATE(YEAR(B57),MONTH(B57),1))</f>
        <v/>
      </c>
      <c r="F57" s="9"/>
      <c r="G57" s="6"/>
      <c r="H57" s="6"/>
      <c r="I57" s="6"/>
    </row>
    <row r="58" customFormat="false" ht="15" hidden="false" customHeight="false" outlineLevel="0" collapsed="false">
      <c r="A58" s="6"/>
      <c r="B58" s="10"/>
      <c r="C58" s="6"/>
      <c r="D58" s="14" t="str">
        <f aca="false">IF(C58="","",IFERROR(INDEX(Pacientes!$Q:$Q,MATCH(C58,Pacientes!$A:$A,0)),"ID no existe"))</f>
        <v/>
      </c>
      <c r="E58" s="15" t="str">
        <f aca="false">IF(B58="","",DATE(YEAR(B58),MONTH(B58),1))</f>
        <v/>
      </c>
      <c r="F58" s="9"/>
      <c r="G58" s="6"/>
      <c r="H58" s="6"/>
      <c r="I58" s="6"/>
    </row>
    <row r="59" customFormat="false" ht="15" hidden="false" customHeight="false" outlineLevel="0" collapsed="false">
      <c r="A59" s="6"/>
      <c r="B59" s="10"/>
      <c r="C59" s="6"/>
      <c r="D59" s="14" t="str">
        <f aca="false">IF(C59="","",IFERROR(INDEX(Pacientes!$Q:$Q,MATCH(C59,Pacientes!$A:$A,0)),"ID no existe"))</f>
        <v/>
      </c>
      <c r="E59" s="15" t="str">
        <f aca="false">IF(B59="","",DATE(YEAR(B59),MONTH(B59),1))</f>
        <v/>
      </c>
      <c r="F59" s="9"/>
      <c r="G59" s="6"/>
      <c r="H59" s="6"/>
      <c r="I59" s="6"/>
    </row>
    <row r="60" customFormat="false" ht="15" hidden="false" customHeight="false" outlineLevel="0" collapsed="false">
      <c r="A60" s="6"/>
      <c r="B60" s="10"/>
      <c r="C60" s="6"/>
      <c r="D60" s="14" t="str">
        <f aca="false">IF(C60="","",IFERROR(INDEX(Pacientes!$Q:$Q,MATCH(C60,Pacientes!$A:$A,0)),"ID no existe"))</f>
        <v/>
      </c>
      <c r="E60" s="15" t="str">
        <f aca="false">IF(B60="","",DATE(YEAR(B60),MONTH(B60),1))</f>
        <v/>
      </c>
      <c r="F60" s="9"/>
      <c r="G60" s="6"/>
      <c r="H60" s="6"/>
      <c r="I60" s="6"/>
    </row>
    <row r="61" customFormat="false" ht="15" hidden="false" customHeight="false" outlineLevel="0" collapsed="false">
      <c r="A61" s="6"/>
      <c r="B61" s="10"/>
      <c r="C61" s="6"/>
      <c r="D61" s="14" t="str">
        <f aca="false">IF(C61="","",IFERROR(INDEX(Pacientes!$Q:$Q,MATCH(C61,Pacientes!$A:$A,0)),"ID no existe"))</f>
        <v/>
      </c>
      <c r="E61" s="15" t="str">
        <f aca="false">IF(B61="","",DATE(YEAR(B61),MONTH(B61),1))</f>
        <v/>
      </c>
      <c r="F61" s="9"/>
      <c r="G61" s="6"/>
      <c r="H61" s="6"/>
      <c r="I61" s="6"/>
    </row>
    <row r="62" customFormat="false" ht="15" hidden="false" customHeight="false" outlineLevel="0" collapsed="false">
      <c r="A62" s="6"/>
      <c r="B62" s="10"/>
      <c r="C62" s="6"/>
      <c r="D62" s="14" t="str">
        <f aca="false">IF(C62="","",IFERROR(INDEX(Pacientes!$Q:$Q,MATCH(C62,Pacientes!$A:$A,0)),"ID no existe"))</f>
        <v/>
      </c>
      <c r="E62" s="15" t="str">
        <f aca="false">IF(B62="","",DATE(YEAR(B62),MONTH(B62),1))</f>
        <v/>
      </c>
      <c r="F62" s="9"/>
      <c r="G62" s="6"/>
      <c r="H62" s="6"/>
      <c r="I62" s="6"/>
    </row>
    <row r="63" customFormat="false" ht="15" hidden="false" customHeight="false" outlineLevel="0" collapsed="false">
      <c r="A63" s="6"/>
      <c r="B63" s="10"/>
      <c r="C63" s="6"/>
      <c r="D63" s="14" t="str">
        <f aca="false">IF(C63="","",IFERROR(INDEX(Pacientes!$Q:$Q,MATCH(C63,Pacientes!$A:$A,0)),"ID no existe"))</f>
        <v/>
      </c>
      <c r="E63" s="15" t="str">
        <f aca="false">IF(B63="","",DATE(YEAR(B63),MONTH(B63),1))</f>
        <v/>
      </c>
      <c r="F63" s="9"/>
      <c r="G63" s="6"/>
      <c r="H63" s="6"/>
      <c r="I63" s="6"/>
    </row>
    <row r="64" customFormat="false" ht="15" hidden="false" customHeight="false" outlineLevel="0" collapsed="false">
      <c r="A64" s="6"/>
      <c r="B64" s="10"/>
      <c r="C64" s="6"/>
      <c r="D64" s="14" t="str">
        <f aca="false">IF(C64="","",IFERROR(INDEX(Pacientes!$Q:$Q,MATCH(C64,Pacientes!$A:$A,0)),"ID no existe"))</f>
        <v/>
      </c>
      <c r="E64" s="15" t="str">
        <f aca="false">IF(B64="","",DATE(YEAR(B64),MONTH(B64),1))</f>
        <v/>
      </c>
      <c r="F64" s="9"/>
      <c r="G64" s="6"/>
      <c r="H64" s="6"/>
      <c r="I64" s="6"/>
    </row>
    <row r="65" customFormat="false" ht="15" hidden="false" customHeight="false" outlineLevel="0" collapsed="false">
      <c r="A65" s="6"/>
      <c r="B65" s="10"/>
      <c r="C65" s="6"/>
      <c r="D65" s="14" t="str">
        <f aca="false">IF(C65="","",IFERROR(INDEX(Pacientes!$Q:$Q,MATCH(C65,Pacientes!$A:$A,0)),"ID no existe"))</f>
        <v/>
      </c>
      <c r="E65" s="15" t="str">
        <f aca="false">IF(B65="","",DATE(YEAR(B65),MONTH(B65),1))</f>
        <v/>
      </c>
      <c r="F65" s="9"/>
      <c r="G65" s="6"/>
      <c r="H65" s="6"/>
      <c r="I65" s="6"/>
    </row>
    <row r="66" customFormat="false" ht="15" hidden="false" customHeight="false" outlineLevel="0" collapsed="false">
      <c r="A66" s="6"/>
      <c r="B66" s="10"/>
      <c r="C66" s="6"/>
      <c r="D66" s="14" t="str">
        <f aca="false">IF(C66="","",IFERROR(INDEX(Pacientes!$Q:$Q,MATCH(C66,Pacientes!$A:$A,0)),"ID no existe"))</f>
        <v/>
      </c>
      <c r="E66" s="15" t="str">
        <f aca="false">IF(B66="","",DATE(YEAR(B66),MONTH(B66),1))</f>
        <v/>
      </c>
      <c r="F66" s="9"/>
      <c r="G66" s="6"/>
      <c r="H66" s="6"/>
      <c r="I66" s="6"/>
    </row>
    <row r="67" customFormat="false" ht="15" hidden="false" customHeight="false" outlineLevel="0" collapsed="false">
      <c r="A67" s="6"/>
      <c r="B67" s="10"/>
      <c r="C67" s="6"/>
      <c r="D67" s="14" t="str">
        <f aca="false">IF(C67="","",IFERROR(INDEX(Pacientes!$Q:$Q,MATCH(C67,Pacientes!$A:$A,0)),"ID no existe"))</f>
        <v/>
      </c>
      <c r="E67" s="15" t="str">
        <f aca="false">IF(B67="","",DATE(YEAR(B67),MONTH(B67),1))</f>
        <v/>
      </c>
      <c r="F67" s="9"/>
      <c r="G67" s="6"/>
      <c r="H67" s="6"/>
      <c r="I67" s="6"/>
    </row>
    <row r="68" customFormat="false" ht="15" hidden="false" customHeight="false" outlineLevel="0" collapsed="false">
      <c r="A68" s="6"/>
      <c r="B68" s="10"/>
      <c r="C68" s="6"/>
      <c r="D68" s="14" t="str">
        <f aca="false">IF(C68="","",IFERROR(INDEX(Pacientes!$Q:$Q,MATCH(C68,Pacientes!$A:$A,0)),"ID no existe"))</f>
        <v/>
      </c>
      <c r="E68" s="15" t="str">
        <f aca="false">IF(B68="","",DATE(YEAR(B68),MONTH(B68),1))</f>
        <v/>
      </c>
      <c r="F68" s="9"/>
      <c r="G68" s="6"/>
      <c r="H68" s="6"/>
      <c r="I68" s="6"/>
    </row>
    <row r="69" customFormat="false" ht="15" hidden="false" customHeight="false" outlineLevel="0" collapsed="false">
      <c r="A69" s="6"/>
      <c r="B69" s="10"/>
      <c r="C69" s="6"/>
      <c r="D69" s="14" t="str">
        <f aca="false">IF(C69="","",IFERROR(INDEX(Pacientes!$Q:$Q,MATCH(C69,Pacientes!$A:$A,0)),"ID no existe"))</f>
        <v/>
      </c>
      <c r="E69" s="15" t="str">
        <f aca="false">IF(B69="","",DATE(YEAR(B69),MONTH(B69),1))</f>
        <v/>
      </c>
      <c r="F69" s="9"/>
      <c r="G69" s="6"/>
      <c r="H69" s="6"/>
      <c r="I69" s="6"/>
    </row>
    <row r="70" customFormat="false" ht="15" hidden="false" customHeight="false" outlineLevel="0" collapsed="false">
      <c r="A70" s="6"/>
      <c r="B70" s="10"/>
      <c r="C70" s="6"/>
      <c r="D70" s="14" t="str">
        <f aca="false">IF(C70="","",IFERROR(INDEX(Pacientes!$Q:$Q,MATCH(C70,Pacientes!$A:$A,0)),"ID no existe"))</f>
        <v/>
      </c>
      <c r="E70" s="15" t="str">
        <f aca="false">IF(B70="","",DATE(YEAR(B70),MONTH(B70),1))</f>
        <v/>
      </c>
      <c r="F70" s="9"/>
      <c r="G70" s="6"/>
      <c r="H70" s="6"/>
      <c r="I70" s="6"/>
    </row>
    <row r="71" customFormat="false" ht="15" hidden="false" customHeight="false" outlineLevel="0" collapsed="false">
      <c r="A71" s="6"/>
      <c r="B71" s="10"/>
      <c r="C71" s="6"/>
      <c r="D71" s="14" t="str">
        <f aca="false">IF(C71="","",IFERROR(INDEX(Pacientes!$Q:$Q,MATCH(C71,Pacientes!$A:$A,0)),"ID no existe"))</f>
        <v/>
      </c>
      <c r="E71" s="15" t="str">
        <f aca="false">IF(B71="","",DATE(YEAR(B71),MONTH(B71),1))</f>
        <v/>
      </c>
      <c r="F71" s="9"/>
      <c r="G71" s="6"/>
      <c r="H71" s="6"/>
      <c r="I71" s="6"/>
    </row>
    <row r="72" customFormat="false" ht="15" hidden="false" customHeight="false" outlineLevel="0" collapsed="false">
      <c r="A72" s="6"/>
      <c r="B72" s="10"/>
      <c r="C72" s="6"/>
      <c r="D72" s="14" t="str">
        <f aca="false">IF(C72="","",IFERROR(INDEX(Pacientes!$Q:$Q,MATCH(C72,Pacientes!$A:$A,0)),"ID no existe"))</f>
        <v/>
      </c>
      <c r="E72" s="15" t="str">
        <f aca="false">IF(B72="","",DATE(YEAR(B72),MONTH(B72),1))</f>
        <v/>
      </c>
      <c r="F72" s="9"/>
      <c r="G72" s="6"/>
      <c r="H72" s="6"/>
      <c r="I72" s="6"/>
    </row>
    <row r="73" customFormat="false" ht="15" hidden="false" customHeight="false" outlineLevel="0" collapsed="false">
      <c r="A73" s="6"/>
      <c r="B73" s="10"/>
      <c r="C73" s="6"/>
      <c r="D73" s="14" t="str">
        <f aca="false">IF(C73="","",IFERROR(INDEX(Pacientes!$Q:$Q,MATCH(C73,Pacientes!$A:$A,0)),"ID no existe"))</f>
        <v/>
      </c>
      <c r="E73" s="15" t="str">
        <f aca="false">IF(B73="","",DATE(YEAR(B73),MONTH(B73),1))</f>
        <v/>
      </c>
      <c r="F73" s="9"/>
      <c r="G73" s="6"/>
      <c r="H73" s="6"/>
      <c r="I73" s="6"/>
    </row>
    <row r="74" customFormat="false" ht="15" hidden="false" customHeight="false" outlineLevel="0" collapsed="false">
      <c r="A74" s="6"/>
      <c r="B74" s="10"/>
      <c r="C74" s="6"/>
      <c r="D74" s="14" t="str">
        <f aca="false">IF(C74="","",IFERROR(INDEX(Pacientes!$Q:$Q,MATCH(C74,Pacientes!$A:$A,0)),"ID no existe"))</f>
        <v/>
      </c>
      <c r="E74" s="15" t="str">
        <f aca="false">IF(B74="","",DATE(YEAR(B74),MONTH(B74),1))</f>
        <v/>
      </c>
      <c r="F74" s="9"/>
      <c r="G74" s="6"/>
      <c r="H74" s="6"/>
      <c r="I74" s="6"/>
    </row>
    <row r="75" customFormat="false" ht="15" hidden="false" customHeight="false" outlineLevel="0" collapsed="false">
      <c r="A75" s="6"/>
      <c r="B75" s="10"/>
      <c r="C75" s="6"/>
      <c r="D75" s="14" t="str">
        <f aca="false">IF(C75="","",IFERROR(INDEX(Pacientes!$Q:$Q,MATCH(C75,Pacientes!$A:$A,0)),"ID no existe"))</f>
        <v/>
      </c>
      <c r="E75" s="15" t="str">
        <f aca="false">IF(B75="","",DATE(YEAR(B75),MONTH(B75),1))</f>
        <v/>
      </c>
      <c r="F75" s="9"/>
      <c r="G75" s="6"/>
      <c r="H75" s="6"/>
      <c r="I75" s="6"/>
    </row>
    <row r="76" customFormat="false" ht="15" hidden="false" customHeight="false" outlineLevel="0" collapsed="false">
      <c r="A76" s="6"/>
      <c r="B76" s="10"/>
      <c r="C76" s="6"/>
      <c r="D76" s="14" t="str">
        <f aca="false">IF(C76="","",IFERROR(INDEX(Pacientes!$Q:$Q,MATCH(C76,Pacientes!$A:$A,0)),"ID no existe"))</f>
        <v/>
      </c>
      <c r="E76" s="15" t="str">
        <f aca="false">IF(B76="","",DATE(YEAR(B76),MONTH(B76),1))</f>
        <v/>
      </c>
      <c r="F76" s="9"/>
      <c r="G76" s="6"/>
      <c r="H76" s="6"/>
      <c r="I76" s="6"/>
    </row>
    <row r="77" customFormat="false" ht="15" hidden="false" customHeight="false" outlineLevel="0" collapsed="false">
      <c r="A77" s="6"/>
      <c r="B77" s="10"/>
      <c r="C77" s="6"/>
      <c r="D77" s="14" t="str">
        <f aca="false">IF(C77="","",IFERROR(INDEX(Pacientes!$Q:$Q,MATCH(C77,Pacientes!$A:$A,0)),"ID no existe"))</f>
        <v/>
      </c>
      <c r="E77" s="15" t="str">
        <f aca="false">IF(B77="","",DATE(YEAR(B77),MONTH(B77),1))</f>
        <v/>
      </c>
      <c r="F77" s="9"/>
      <c r="G77" s="6"/>
      <c r="H77" s="6"/>
      <c r="I77" s="6"/>
    </row>
    <row r="78" customFormat="false" ht="15" hidden="false" customHeight="false" outlineLevel="0" collapsed="false">
      <c r="A78" s="6"/>
      <c r="B78" s="10"/>
      <c r="C78" s="6"/>
      <c r="D78" s="14" t="str">
        <f aca="false">IF(C78="","",IFERROR(INDEX(Pacientes!$Q:$Q,MATCH(C78,Pacientes!$A:$A,0)),"ID no existe"))</f>
        <v/>
      </c>
      <c r="E78" s="15" t="str">
        <f aca="false">IF(B78="","",DATE(YEAR(B78),MONTH(B78),1))</f>
        <v/>
      </c>
      <c r="F78" s="9"/>
      <c r="G78" s="6"/>
      <c r="H78" s="6"/>
      <c r="I78" s="6"/>
    </row>
    <row r="79" customFormat="false" ht="15" hidden="false" customHeight="false" outlineLevel="0" collapsed="false">
      <c r="A79" s="6"/>
      <c r="B79" s="10"/>
      <c r="C79" s="6"/>
      <c r="D79" s="14" t="str">
        <f aca="false">IF(C79="","",IFERROR(INDEX(Pacientes!$Q:$Q,MATCH(C79,Pacientes!$A:$A,0)),"ID no existe"))</f>
        <v/>
      </c>
      <c r="E79" s="15" t="str">
        <f aca="false">IF(B79="","",DATE(YEAR(B79),MONTH(B79),1))</f>
        <v/>
      </c>
      <c r="F79" s="9"/>
      <c r="G79" s="6"/>
      <c r="H79" s="6"/>
      <c r="I79" s="6"/>
    </row>
    <row r="80" customFormat="false" ht="15" hidden="false" customHeight="false" outlineLevel="0" collapsed="false">
      <c r="A80" s="6"/>
      <c r="B80" s="10"/>
      <c r="C80" s="6"/>
      <c r="D80" s="14" t="str">
        <f aca="false">IF(C80="","",IFERROR(INDEX(Pacientes!$Q:$Q,MATCH(C80,Pacientes!$A:$A,0)),"ID no existe"))</f>
        <v/>
      </c>
      <c r="E80" s="15" t="str">
        <f aca="false">IF(B80="","",DATE(YEAR(B80),MONTH(B80),1))</f>
        <v/>
      </c>
      <c r="F80" s="9"/>
      <c r="G80" s="6"/>
      <c r="H80" s="6"/>
      <c r="I80" s="6"/>
    </row>
    <row r="81" customFormat="false" ht="15" hidden="false" customHeight="false" outlineLevel="0" collapsed="false">
      <c r="A81" s="6"/>
      <c r="B81" s="10"/>
      <c r="C81" s="6"/>
      <c r="D81" s="14" t="str">
        <f aca="false">IF(C81="","",IFERROR(INDEX(Pacientes!$Q:$Q,MATCH(C81,Pacientes!$A:$A,0)),"ID no existe"))</f>
        <v/>
      </c>
      <c r="E81" s="15" t="str">
        <f aca="false">IF(B81="","",DATE(YEAR(B81),MONTH(B81),1))</f>
        <v/>
      </c>
      <c r="F81" s="9"/>
      <c r="G81" s="6"/>
      <c r="H81" s="6"/>
      <c r="I81" s="6"/>
    </row>
    <row r="82" customFormat="false" ht="15" hidden="false" customHeight="false" outlineLevel="0" collapsed="false">
      <c r="A82" s="6"/>
      <c r="B82" s="10"/>
      <c r="C82" s="6"/>
      <c r="D82" s="14" t="str">
        <f aca="false">IF(C82="","",IFERROR(INDEX(Pacientes!$Q:$Q,MATCH(C82,Pacientes!$A:$A,0)),"ID no existe"))</f>
        <v/>
      </c>
      <c r="E82" s="15" t="str">
        <f aca="false">IF(B82="","",DATE(YEAR(B82),MONTH(B82),1))</f>
        <v/>
      </c>
      <c r="F82" s="9"/>
      <c r="G82" s="6"/>
      <c r="H82" s="6"/>
      <c r="I82" s="6"/>
    </row>
    <row r="83" customFormat="false" ht="15" hidden="false" customHeight="false" outlineLevel="0" collapsed="false">
      <c r="A83" s="6"/>
      <c r="B83" s="10"/>
      <c r="C83" s="6"/>
      <c r="D83" s="14" t="str">
        <f aca="false">IF(C83="","",IFERROR(INDEX(Pacientes!$Q:$Q,MATCH(C83,Pacientes!$A:$A,0)),"ID no existe"))</f>
        <v/>
      </c>
      <c r="E83" s="15" t="str">
        <f aca="false">IF(B83="","",DATE(YEAR(B83),MONTH(B83),1))</f>
        <v/>
      </c>
      <c r="F83" s="9"/>
      <c r="G83" s="6"/>
      <c r="H83" s="6"/>
      <c r="I83" s="6"/>
    </row>
    <row r="84" customFormat="false" ht="15" hidden="false" customHeight="false" outlineLevel="0" collapsed="false">
      <c r="A84" s="6"/>
      <c r="B84" s="10"/>
      <c r="C84" s="6"/>
      <c r="D84" s="14" t="str">
        <f aca="false">IF(C84="","",IFERROR(INDEX(Pacientes!$Q:$Q,MATCH(C84,Pacientes!$A:$A,0)),"ID no existe"))</f>
        <v/>
      </c>
      <c r="E84" s="15" t="str">
        <f aca="false">IF(B84="","",DATE(YEAR(B84),MONTH(B84),1))</f>
        <v/>
      </c>
      <c r="F84" s="9"/>
      <c r="G84" s="6"/>
      <c r="H84" s="6"/>
      <c r="I84" s="6"/>
    </row>
    <row r="85" customFormat="false" ht="15" hidden="false" customHeight="false" outlineLevel="0" collapsed="false">
      <c r="A85" s="6"/>
      <c r="B85" s="10"/>
      <c r="C85" s="6"/>
      <c r="D85" s="14" t="str">
        <f aca="false">IF(C85="","",IFERROR(INDEX(Pacientes!$Q:$Q,MATCH(C85,Pacientes!$A:$A,0)),"ID no existe"))</f>
        <v/>
      </c>
      <c r="E85" s="15" t="str">
        <f aca="false">IF(B85="","",DATE(YEAR(B85),MONTH(B85),1))</f>
        <v/>
      </c>
      <c r="F85" s="9"/>
      <c r="G85" s="6"/>
      <c r="H85" s="6"/>
      <c r="I85" s="6"/>
    </row>
    <row r="86" customFormat="false" ht="15" hidden="false" customHeight="false" outlineLevel="0" collapsed="false">
      <c r="A86" s="6"/>
      <c r="B86" s="10"/>
      <c r="C86" s="6"/>
      <c r="D86" s="14" t="str">
        <f aca="false">IF(C86="","",IFERROR(INDEX(Pacientes!$Q:$Q,MATCH(C86,Pacientes!$A:$A,0)),"ID no existe"))</f>
        <v/>
      </c>
      <c r="E86" s="15" t="str">
        <f aca="false">IF(B86="","",DATE(YEAR(B86),MONTH(B86),1))</f>
        <v/>
      </c>
      <c r="F86" s="9"/>
      <c r="G86" s="6"/>
      <c r="H86" s="6"/>
      <c r="I86" s="6"/>
    </row>
    <row r="87" customFormat="false" ht="15" hidden="false" customHeight="false" outlineLevel="0" collapsed="false">
      <c r="A87" s="6"/>
      <c r="B87" s="10"/>
      <c r="C87" s="6"/>
      <c r="D87" s="14" t="str">
        <f aca="false">IF(C87="","",IFERROR(INDEX(Pacientes!$Q:$Q,MATCH(C87,Pacientes!$A:$A,0)),"ID no existe"))</f>
        <v/>
      </c>
      <c r="E87" s="15" t="str">
        <f aca="false">IF(B87="","",DATE(YEAR(B87),MONTH(B87),1))</f>
        <v/>
      </c>
      <c r="F87" s="9"/>
      <c r="G87" s="6"/>
      <c r="H87" s="6"/>
      <c r="I87" s="6"/>
    </row>
    <row r="88" customFormat="false" ht="15" hidden="false" customHeight="false" outlineLevel="0" collapsed="false">
      <c r="A88" s="6"/>
      <c r="B88" s="10"/>
      <c r="C88" s="6"/>
      <c r="D88" s="14" t="str">
        <f aca="false">IF(C88="","",IFERROR(INDEX(Pacientes!$Q:$Q,MATCH(C88,Pacientes!$A:$A,0)),"ID no existe"))</f>
        <v/>
      </c>
      <c r="E88" s="15" t="str">
        <f aca="false">IF(B88="","",DATE(YEAR(B88),MONTH(B88),1))</f>
        <v/>
      </c>
      <c r="F88" s="9"/>
      <c r="G88" s="6"/>
      <c r="H88" s="6"/>
      <c r="I88" s="6"/>
    </row>
    <row r="89" customFormat="false" ht="15" hidden="false" customHeight="false" outlineLevel="0" collapsed="false">
      <c r="A89" s="6"/>
      <c r="B89" s="10"/>
      <c r="C89" s="6"/>
      <c r="D89" s="14" t="str">
        <f aca="false">IF(C89="","",IFERROR(INDEX(Pacientes!$Q:$Q,MATCH(C89,Pacientes!$A:$A,0)),"ID no existe"))</f>
        <v/>
      </c>
      <c r="E89" s="15" t="str">
        <f aca="false">IF(B89="","",DATE(YEAR(B89),MONTH(B89),1))</f>
        <v/>
      </c>
      <c r="F89" s="9"/>
      <c r="G89" s="6"/>
      <c r="H89" s="6"/>
      <c r="I89" s="6"/>
    </row>
    <row r="90" customFormat="false" ht="15" hidden="false" customHeight="false" outlineLevel="0" collapsed="false">
      <c r="A90" s="6"/>
      <c r="B90" s="10"/>
      <c r="C90" s="6"/>
      <c r="D90" s="14" t="str">
        <f aca="false">IF(C90="","",IFERROR(INDEX(Pacientes!$Q:$Q,MATCH(C90,Pacientes!$A:$A,0)),"ID no existe"))</f>
        <v/>
      </c>
      <c r="E90" s="15" t="str">
        <f aca="false">IF(B90="","",DATE(YEAR(B90),MONTH(B90),1))</f>
        <v/>
      </c>
      <c r="F90" s="9"/>
      <c r="G90" s="6"/>
      <c r="H90" s="6"/>
      <c r="I90" s="6"/>
    </row>
    <row r="91" customFormat="false" ht="15" hidden="false" customHeight="false" outlineLevel="0" collapsed="false">
      <c r="A91" s="6"/>
      <c r="B91" s="10"/>
      <c r="C91" s="6"/>
      <c r="D91" s="14" t="str">
        <f aca="false">IF(C91="","",IFERROR(INDEX(Pacientes!$Q:$Q,MATCH(C91,Pacientes!$A:$A,0)),"ID no existe"))</f>
        <v/>
      </c>
      <c r="E91" s="15" t="str">
        <f aca="false">IF(B91="","",DATE(YEAR(B91),MONTH(B91),1))</f>
        <v/>
      </c>
      <c r="F91" s="9"/>
      <c r="G91" s="6"/>
      <c r="H91" s="6"/>
      <c r="I91" s="6"/>
    </row>
    <row r="92" customFormat="false" ht="15" hidden="false" customHeight="false" outlineLevel="0" collapsed="false">
      <c r="A92" s="6"/>
      <c r="B92" s="10"/>
      <c r="C92" s="6"/>
      <c r="D92" s="14" t="str">
        <f aca="false">IF(C92="","",IFERROR(INDEX(Pacientes!$Q:$Q,MATCH(C92,Pacientes!$A:$A,0)),"ID no existe"))</f>
        <v/>
      </c>
      <c r="E92" s="15" t="str">
        <f aca="false">IF(B92="","",DATE(YEAR(B92),MONTH(B92),1))</f>
        <v/>
      </c>
      <c r="F92" s="9"/>
      <c r="G92" s="6"/>
      <c r="H92" s="6"/>
      <c r="I92" s="6"/>
    </row>
    <row r="93" customFormat="false" ht="15" hidden="false" customHeight="false" outlineLevel="0" collapsed="false">
      <c r="A93" s="6"/>
      <c r="B93" s="10"/>
      <c r="C93" s="6"/>
      <c r="D93" s="14" t="str">
        <f aca="false">IF(C93="","",IFERROR(INDEX(Pacientes!$Q:$Q,MATCH(C93,Pacientes!$A:$A,0)),"ID no existe"))</f>
        <v/>
      </c>
      <c r="E93" s="15" t="str">
        <f aca="false">IF(B93="","",DATE(YEAR(B93),MONTH(B93),1))</f>
        <v/>
      </c>
      <c r="F93" s="9"/>
      <c r="G93" s="6"/>
      <c r="H93" s="6"/>
      <c r="I93" s="6"/>
    </row>
    <row r="94" customFormat="false" ht="15" hidden="false" customHeight="false" outlineLevel="0" collapsed="false">
      <c r="A94" s="6"/>
      <c r="B94" s="10"/>
      <c r="C94" s="6"/>
      <c r="D94" s="14" t="str">
        <f aca="false">IF(C94="","",IFERROR(INDEX(Pacientes!$Q:$Q,MATCH(C94,Pacientes!$A:$A,0)),"ID no existe"))</f>
        <v/>
      </c>
      <c r="E94" s="15" t="str">
        <f aca="false">IF(B94="","",DATE(YEAR(B94),MONTH(B94),1))</f>
        <v/>
      </c>
      <c r="F94" s="9"/>
      <c r="G94" s="6"/>
      <c r="H94" s="6"/>
      <c r="I94" s="6"/>
    </row>
    <row r="95" customFormat="false" ht="15" hidden="false" customHeight="false" outlineLevel="0" collapsed="false">
      <c r="A95" s="6"/>
      <c r="B95" s="10"/>
      <c r="C95" s="6"/>
      <c r="D95" s="14" t="str">
        <f aca="false">IF(C95="","",IFERROR(INDEX(Pacientes!$Q:$Q,MATCH(C95,Pacientes!$A:$A,0)),"ID no existe"))</f>
        <v/>
      </c>
      <c r="E95" s="15" t="str">
        <f aca="false">IF(B95="","",DATE(YEAR(B95),MONTH(B95),1))</f>
        <v/>
      </c>
      <c r="F95" s="9"/>
      <c r="G95" s="6"/>
      <c r="H95" s="6"/>
      <c r="I95" s="6"/>
    </row>
    <row r="96" customFormat="false" ht="15" hidden="false" customHeight="false" outlineLevel="0" collapsed="false">
      <c r="A96" s="6"/>
      <c r="B96" s="10"/>
      <c r="C96" s="6"/>
      <c r="D96" s="14" t="str">
        <f aca="false">IF(C96="","",IFERROR(INDEX(Pacientes!$Q:$Q,MATCH(C96,Pacientes!$A:$A,0)),"ID no existe"))</f>
        <v/>
      </c>
      <c r="E96" s="15" t="str">
        <f aca="false">IF(B96="","",DATE(YEAR(B96),MONTH(B96),1))</f>
        <v/>
      </c>
      <c r="F96" s="9"/>
      <c r="G96" s="6"/>
      <c r="H96" s="6"/>
      <c r="I96" s="6"/>
    </row>
    <row r="97" customFormat="false" ht="15" hidden="false" customHeight="false" outlineLevel="0" collapsed="false">
      <c r="A97" s="6"/>
      <c r="B97" s="10"/>
      <c r="C97" s="6"/>
      <c r="D97" s="14" t="str">
        <f aca="false">IF(C97="","",IFERROR(INDEX(Pacientes!$Q:$Q,MATCH(C97,Pacientes!$A:$A,0)),"ID no existe"))</f>
        <v/>
      </c>
      <c r="E97" s="15" t="str">
        <f aca="false">IF(B97="","",DATE(YEAR(B97),MONTH(B97),1))</f>
        <v/>
      </c>
      <c r="F97" s="9"/>
      <c r="G97" s="6"/>
      <c r="H97" s="6"/>
      <c r="I97" s="6"/>
    </row>
    <row r="98" customFormat="false" ht="15" hidden="false" customHeight="false" outlineLevel="0" collapsed="false">
      <c r="A98" s="6"/>
      <c r="B98" s="10"/>
      <c r="C98" s="6"/>
      <c r="D98" s="14" t="str">
        <f aca="false">IF(C98="","",IFERROR(INDEX(Pacientes!$Q:$Q,MATCH(C98,Pacientes!$A:$A,0)),"ID no existe"))</f>
        <v/>
      </c>
      <c r="E98" s="15" t="str">
        <f aca="false">IF(B98="","",DATE(YEAR(B98),MONTH(B98),1))</f>
        <v/>
      </c>
      <c r="F98" s="9"/>
      <c r="G98" s="6"/>
      <c r="H98" s="6"/>
      <c r="I98" s="6"/>
    </row>
    <row r="99" customFormat="false" ht="15" hidden="false" customHeight="false" outlineLevel="0" collapsed="false">
      <c r="A99" s="6"/>
      <c r="B99" s="10"/>
      <c r="C99" s="6"/>
      <c r="D99" s="14" t="str">
        <f aca="false">IF(C99="","",IFERROR(INDEX(Pacientes!$Q:$Q,MATCH(C99,Pacientes!$A:$A,0)),"ID no existe"))</f>
        <v/>
      </c>
      <c r="E99" s="15" t="str">
        <f aca="false">IF(B99="","",DATE(YEAR(B99),MONTH(B99),1))</f>
        <v/>
      </c>
      <c r="F99" s="9"/>
      <c r="G99" s="6"/>
      <c r="H99" s="6"/>
      <c r="I99" s="6"/>
    </row>
    <row r="100" customFormat="false" ht="15" hidden="false" customHeight="false" outlineLevel="0" collapsed="false">
      <c r="A100" s="6"/>
      <c r="B100" s="10"/>
      <c r="C100" s="6"/>
      <c r="D100" s="14" t="str">
        <f aca="false">IF(C100="","",IFERROR(INDEX(Pacientes!$Q:$Q,MATCH(C100,Pacientes!$A:$A,0)),"ID no existe"))</f>
        <v/>
      </c>
      <c r="E100" s="15" t="str">
        <f aca="false">IF(B100="","",DATE(YEAR(B100),MONTH(B100),1))</f>
        <v/>
      </c>
      <c r="F100" s="9"/>
      <c r="G100" s="6"/>
      <c r="H100" s="6"/>
      <c r="I100" s="6"/>
    </row>
    <row r="101" customFormat="false" ht="15" hidden="false" customHeight="false" outlineLevel="0" collapsed="false">
      <c r="A101" s="6"/>
      <c r="B101" s="10"/>
      <c r="C101" s="6"/>
      <c r="D101" s="14" t="str">
        <f aca="false">IF(C101="","",IFERROR(INDEX(Pacientes!$Q:$Q,MATCH(C101,Pacientes!$A:$A,0)),"ID no existe"))</f>
        <v/>
      </c>
      <c r="E101" s="15" t="str">
        <f aca="false">IF(B101="","",DATE(YEAR(B101),MONTH(B101),1))</f>
        <v/>
      </c>
      <c r="F101" s="9"/>
      <c r="G101" s="6"/>
      <c r="H101" s="6"/>
      <c r="I101" s="6"/>
    </row>
    <row r="102" customFormat="false" ht="15" hidden="false" customHeight="false" outlineLevel="0" collapsed="false">
      <c r="A102" s="6"/>
      <c r="B102" s="10"/>
      <c r="C102" s="6"/>
      <c r="D102" s="14" t="str">
        <f aca="false">IF(C102="","",IFERROR(INDEX(Pacientes!$Q:$Q,MATCH(C102,Pacientes!$A:$A,0)),"ID no existe"))</f>
        <v/>
      </c>
      <c r="E102" s="15" t="str">
        <f aca="false">IF(B102="","",DATE(YEAR(B102),MONTH(B102),1))</f>
        <v/>
      </c>
      <c r="F102" s="9"/>
      <c r="G102" s="6"/>
      <c r="H102" s="6"/>
      <c r="I102" s="6"/>
    </row>
    <row r="103" customFormat="false" ht="15" hidden="false" customHeight="false" outlineLevel="0" collapsed="false">
      <c r="A103" s="6"/>
      <c r="B103" s="10"/>
      <c r="C103" s="6"/>
      <c r="D103" s="14" t="str">
        <f aca="false">IF(C103="","",IFERROR(INDEX(Pacientes!$Q:$Q,MATCH(C103,Pacientes!$A:$A,0)),"ID no existe"))</f>
        <v/>
      </c>
      <c r="E103" s="15" t="str">
        <f aca="false">IF(B103="","",DATE(YEAR(B103),MONTH(B103),1))</f>
        <v/>
      </c>
      <c r="F103" s="9"/>
      <c r="G103" s="6"/>
      <c r="H103" s="6"/>
      <c r="I103" s="6"/>
    </row>
    <row r="104" customFormat="false" ht="15" hidden="false" customHeight="false" outlineLevel="0" collapsed="false">
      <c r="A104" s="6"/>
      <c r="B104" s="10"/>
      <c r="C104" s="6"/>
      <c r="D104" s="14" t="str">
        <f aca="false">IF(C104="","",IFERROR(INDEX(Pacientes!$Q:$Q,MATCH(C104,Pacientes!$A:$A,0)),"ID no existe"))</f>
        <v/>
      </c>
      <c r="E104" s="15" t="str">
        <f aca="false">IF(B104="","",DATE(YEAR(B104),MONTH(B104),1))</f>
        <v/>
      </c>
      <c r="F104" s="9"/>
      <c r="G104" s="6"/>
      <c r="H104" s="6"/>
      <c r="I104" s="6"/>
    </row>
    <row r="105" customFormat="false" ht="15" hidden="false" customHeight="false" outlineLevel="0" collapsed="false">
      <c r="A105" s="6"/>
      <c r="B105" s="10"/>
      <c r="C105" s="6"/>
      <c r="D105" s="14" t="str">
        <f aca="false">IF(C105="","",IFERROR(INDEX(Pacientes!$Q:$Q,MATCH(C105,Pacientes!$A:$A,0)),"ID no existe"))</f>
        <v/>
      </c>
      <c r="E105" s="15" t="str">
        <f aca="false">IF(B105="","",DATE(YEAR(B105),MONTH(B105),1))</f>
        <v/>
      </c>
      <c r="F105" s="9"/>
      <c r="G105" s="6"/>
      <c r="H105" s="6"/>
      <c r="I105" s="6"/>
    </row>
    <row r="106" customFormat="false" ht="15" hidden="false" customHeight="false" outlineLevel="0" collapsed="false">
      <c r="A106" s="6"/>
      <c r="B106" s="10"/>
      <c r="C106" s="6"/>
      <c r="D106" s="14" t="str">
        <f aca="false">IF(C106="","",IFERROR(INDEX(Pacientes!$Q:$Q,MATCH(C106,Pacientes!$A:$A,0)),"ID no existe"))</f>
        <v/>
      </c>
      <c r="E106" s="15" t="str">
        <f aca="false">IF(B106="","",DATE(YEAR(B106),MONTH(B106),1))</f>
        <v/>
      </c>
      <c r="F106" s="9"/>
      <c r="G106" s="6"/>
      <c r="H106" s="6"/>
      <c r="I106" s="6"/>
    </row>
    <row r="107" customFormat="false" ht="15" hidden="false" customHeight="false" outlineLevel="0" collapsed="false">
      <c r="A107" s="6"/>
      <c r="B107" s="10"/>
      <c r="C107" s="6"/>
      <c r="D107" s="14" t="str">
        <f aca="false">IF(C107="","",IFERROR(INDEX(Pacientes!$Q:$Q,MATCH(C107,Pacientes!$A:$A,0)),"ID no existe"))</f>
        <v/>
      </c>
      <c r="E107" s="15" t="str">
        <f aca="false">IF(B107="","",DATE(YEAR(B107),MONTH(B107),1))</f>
        <v/>
      </c>
      <c r="F107" s="9"/>
      <c r="G107" s="6"/>
      <c r="H107" s="6"/>
      <c r="I107" s="6"/>
    </row>
    <row r="108" customFormat="false" ht="15" hidden="false" customHeight="false" outlineLevel="0" collapsed="false">
      <c r="A108" s="6"/>
      <c r="B108" s="10"/>
      <c r="C108" s="6"/>
      <c r="D108" s="14" t="str">
        <f aca="false">IF(C108="","",IFERROR(INDEX(Pacientes!$Q:$Q,MATCH(C108,Pacientes!$A:$A,0)),"ID no existe"))</f>
        <v/>
      </c>
      <c r="E108" s="15" t="str">
        <f aca="false">IF(B108="","",DATE(YEAR(B108),MONTH(B108),1))</f>
        <v/>
      </c>
      <c r="F108" s="9"/>
      <c r="G108" s="6"/>
      <c r="H108" s="6"/>
      <c r="I108" s="6"/>
    </row>
    <row r="109" customFormat="false" ht="15" hidden="false" customHeight="false" outlineLevel="0" collapsed="false">
      <c r="A109" s="6"/>
      <c r="B109" s="10"/>
      <c r="C109" s="6"/>
      <c r="D109" s="14" t="str">
        <f aca="false">IF(C109="","",IFERROR(INDEX(Pacientes!$Q:$Q,MATCH(C109,Pacientes!$A:$A,0)),"ID no existe"))</f>
        <v/>
      </c>
      <c r="E109" s="15" t="str">
        <f aca="false">IF(B109="","",DATE(YEAR(B109),MONTH(B109),1))</f>
        <v/>
      </c>
      <c r="F109" s="9"/>
      <c r="G109" s="6"/>
      <c r="H109" s="6"/>
      <c r="I109" s="6"/>
    </row>
    <row r="110" customFormat="false" ht="15" hidden="false" customHeight="false" outlineLevel="0" collapsed="false">
      <c r="A110" s="6"/>
      <c r="B110" s="10"/>
      <c r="C110" s="6"/>
      <c r="D110" s="14" t="str">
        <f aca="false">IF(C110="","",IFERROR(INDEX(Pacientes!$Q:$Q,MATCH(C110,Pacientes!$A:$A,0)),"ID no existe"))</f>
        <v/>
      </c>
      <c r="E110" s="15" t="str">
        <f aca="false">IF(B110="","",DATE(YEAR(B110),MONTH(B110),1))</f>
        <v/>
      </c>
      <c r="F110" s="9"/>
      <c r="G110" s="6"/>
      <c r="H110" s="6"/>
      <c r="I110" s="6"/>
    </row>
    <row r="111" customFormat="false" ht="15" hidden="false" customHeight="false" outlineLevel="0" collapsed="false">
      <c r="A111" s="6"/>
      <c r="B111" s="10"/>
      <c r="C111" s="6"/>
      <c r="D111" s="14" t="str">
        <f aca="false">IF(C111="","",IFERROR(INDEX(Pacientes!$Q:$Q,MATCH(C111,Pacientes!$A:$A,0)),"ID no existe"))</f>
        <v/>
      </c>
      <c r="E111" s="15" t="str">
        <f aca="false">IF(B111="","",DATE(YEAR(B111),MONTH(B111),1))</f>
        <v/>
      </c>
      <c r="F111" s="9"/>
      <c r="G111" s="6"/>
      <c r="H111" s="6"/>
      <c r="I111" s="6"/>
    </row>
    <row r="112" customFormat="false" ht="15" hidden="false" customHeight="false" outlineLevel="0" collapsed="false">
      <c r="A112" s="6"/>
      <c r="B112" s="10"/>
      <c r="C112" s="6"/>
      <c r="D112" s="14" t="str">
        <f aca="false">IF(C112="","",IFERROR(INDEX(Pacientes!$Q:$Q,MATCH(C112,Pacientes!$A:$A,0)),"ID no existe"))</f>
        <v/>
      </c>
      <c r="E112" s="15" t="str">
        <f aca="false">IF(B112="","",DATE(YEAR(B112),MONTH(B112),1))</f>
        <v/>
      </c>
      <c r="F112" s="9"/>
      <c r="G112" s="6"/>
      <c r="H112" s="6"/>
      <c r="I112" s="6"/>
    </row>
    <row r="113" customFormat="false" ht="15" hidden="false" customHeight="false" outlineLevel="0" collapsed="false">
      <c r="A113" s="6"/>
      <c r="B113" s="10"/>
      <c r="C113" s="6"/>
      <c r="D113" s="14" t="str">
        <f aca="false">IF(C113="","",IFERROR(INDEX(Pacientes!$Q:$Q,MATCH(C113,Pacientes!$A:$A,0)),"ID no existe"))</f>
        <v/>
      </c>
      <c r="E113" s="15" t="str">
        <f aca="false">IF(B113="","",DATE(YEAR(B113),MONTH(B113),1))</f>
        <v/>
      </c>
      <c r="F113" s="9"/>
      <c r="G113" s="6"/>
      <c r="H113" s="6"/>
      <c r="I113" s="6"/>
    </row>
    <row r="114" customFormat="false" ht="15" hidden="false" customHeight="false" outlineLevel="0" collapsed="false">
      <c r="A114" s="6"/>
      <c r="B114" s="10"/>
      <c r="C114" s="6"/>
      <c r="D114" s="14" t="str">
        <f aca="false">IF(C114="","",IFERROR(INDEX(Pacientes!$Q:$Q,MATCH(C114,Pacientes!$A:$A,0)),"ID no existe"))</f>
        <v/>
      </c>
      <c r="E114" s="15" t="str">
        <f aca="false">IF(B114="","",DATE(YEAR(B114),MONTH(B114),1))</f>
        <v/>
      </c>
      <c r="F114" s="9"/>
      <c r="G114" s="6"/>
      <c r="H114" s="6"/>
      <c r="I114" s="6"/>
    </row>
    <row r="115" customFormat="false" ht="15" hidden="false" customHeight="false" outlineLevel="0" collapsed="false">
      <c r="A115" s="6"/>
      <c r="B115" s="10"/>
      <c r="C115" s="6"/>
      <c r="D115" s="14" t="str">
        <f aca="false">IF(C115="","",IFERROR(INDEX(Pacientes!$Q:$Q,MATCH(C115,Pacientes!$A:$A,0)),"ID no existe"))</f>
        <v/>
      </c>
      <c r="E115" s="15" t="str">
        <f aca="false">IF(B115="","",DATE(YEAR(B115),MONTH(B115),1))</f>
        <v/>
      </c>
      <c r="F115" s="9"/>
      <c r="G115" s="6"/>
      <c r="H115" s="6"/>
      <c r="I115" s="6"/>
    </row>
    <row r="116" customFormat="false" ht="15" hidden="false" customHeight="false" outlineLevel="0" collapsed="false">
      <c r="A116" s="6"/>
      <c r="B116" s="10"/>
      <c r="C116" s="6"/>
      <c r="D116" s="14" t="str">
        <f aca="false">IF(C116="","",IFERROR(INDEX(Pacientes!$Q:$Q,MATCH(C116,Pacientes!$A:$A,0)),"ID no existe"))</f>
        <v/>
      </c>
      <c r="E116" s="15" t="str">
        <f aca="false">IF(B116="","",DATE(YEAR(B116),MONTH(B116),1))</f>
        <v/>
      </c>
      <c r="F116" s="9"/>
      <c r="G116" s="6"/>
      <c r="H116" s="6"/>
      <c r="I116" s="6"/>
    </row>
    <row r="117" customFormat="false" ht="15" hidden="false" customHeight="false" outlineLevel="0" collapsed="false">
      <c r="A117" s="6"/>
      <c r="B117" s="10"/>
      <c r="C117" s="6"/>
      <c r="D117" s="14" t="str">
        <f aca="false">IF(C117="","",IFERROR(INDEX(Pacientes!$Q:$Q,MATCH(C117,Pacientes!$A:$A,0)),"ID no existe"))</f>
        <v/>
      </c>
      <c r="E117" s="15" t="str">
        <f aca="false">IF(B117="","",DATE(YEAR(B117),MONTH(B117),1))</f>
        <v/>
      </c>
      <c r="F117" s="9"/>
      <c r="G117" s="6"/>
      <c r="H117" s="6"/>
      <c r="I117" s="6"/>
    </row>
    <row r="118" customFormat="false" ht="15" hidden="false" customHeight="false" outlineLevel="0" collapsed="false">
      <c r="A118" s="6"/>
      <c r="B118" s="10"/>
      <c r="C118" s="6"/>
      <c r="D118" s="14" t="str">
        <f aca="false">IF(C118="","",IFERROR(INDEX(Pacientes!$Q:$Q,MATCH(C118,Pacientes!$A:$A,0)),"ID no existe"))</f>
        <v/>
      </c>
      <c r="E118" s="15" t="str">
        <f aca="false">IF(B118="","",DATE(YEAR(B118),MONTH(B118),1))</f>
        <v/>
      </c>
      <c r="F118" s="9"/>
      <c r="G118" s="6"/>
      <c r="H118" s="6"/>
      <c r="I118" s="6"/>
    </row>
    <row r="119" customFormat="false" ht="15" hidden="false" customHeight="false" outlineLevel="0" collapsed="false">
      <c r="A119" s="6"/>
      <c r="B119" s="10"/>
      <c r="C119" s="6"/>
      <c r="D119" s="14" t="str">
        <f aca="false">IF(C119="","",IFERROR(INDEX(Pacientes!$Q:$Q,MATCH(C119,Pacientes!$A:$A,0)),"ID no existe"))</f>
        <v/>
      </c>
      <c r="E119" s="15" t="str">
        <f aca="false">IF(B119="","",DATE(YEAR(B119),MONTH(B119),1))</f>
        <v/>
      </c>
      <c r="F119" s="9"/>
      <c r="G119" s="6"/>
      <c r="H119" s="6"/>
      <c r="I119" s="6"/>
    </row>
    <row r="120" customFormat="false" ht="15" hidden="false" customHeight="false" outlineLevel="0" collapsed="false">
      <c r="A120" s="6"/>
      <c r="B120" s="10"/>
      <c r="C120" s="6"/>
      <c r="D120" s="14" t="str">
        <f aca="false">IF(C120="","",IFERROR(INDEX(Pacientes!$Q:$Q,MATCH(C120,Pacientes!$A:$A,0)),"ID no existe"))</f>
        <v/>
      </c>
      <c r="E120" s="15" t="str">
        <f aca="false">IF(B120="","",DATE(YEAR(B120),MONTH(B120),1))</f>
        <v/>
      </c>
      <c r="F120" s="9"/>
      <c r="G120" s="6"/>
      <c r="H120" s="6"/>
      <c r="I120" s="6"/>
    </row>
    <row r="121" customFormat="false" ht="15" hidden="false" customHeight="false" outlineLevel="0" collapsed="false">
      <c r="A121" s="6"/>
      <c r="B121" s="10"/>
      <c r="C121" s="6"/>
      <c r="D121" s="14" t="str">
        <f aca="false">IF(C121="","",IFERROR(INDEX(Pacientes!$Q:$Q,MATCH(C121,Pacientes!$A:$A,0)),"ID no existe"))</f>
        <v/>
      </c>
      <c r="E121" s="15" t="str">
        <f aca="false">IF(B121="","",DATE(YEAR(B121),MONTH(B121),1))</f>
        <v/>
      </c>
      <c r="F121" s="9"/>
      <c r="G121" s="6"/>
      <c r="H121" s="6"/>
      <c r="I121" s="6"/>
    </row>
    <row r="122" customFormat="false" ht="15" hidden="false" customHeight="false" outlineLevel="0" collapsed="false">
      <c r="A122" s="6"/>
      <c r="B122" s="10"/>
      <c r="C122" s="6"/>
      <c r="D122" s="14" t="str">
        <f aca="false">IF(C122="","",IFERROR(INDEX(Pacientes!$Q:$Q,MATCH(C122,Pacientes!$A:$A,0)),"ID no existe"))</f>
        <v/>
      </c>
      <c r="E122" s="15" t="str">
        <f aca="false">IF(B122="","",DATE(YEAR(B122),MONTH(B122),1))</f>
        <v/>
      </c>
      <c r="F122" s="9"/>
      <c r="G122" s="6"/>
      <c r="H122" s="6"/>
      <c r="I122" s="6"/>
    </row>
    <row r="123" customFormat="false" ht="15" hidden="false" customHeight="false" outlineLevel="0" collapsed="false">
      <c r="A123" s="6"/>
      <c r="B123" s="10"/>
      <c r="C123" s="6"/>
      <c r="D123" s="14" t="str">
        <f aca="false">IF(C123="","",IFERROR(INDEX(Pacientes!$Q:$Q,MATCH(C123,Pacientes!$A:$A,0)),"ID no existe"))</f>
        <v/>
      </c>
      <c r="E123" s="15" t="str">
        <f aca="false">IF(B123="","",DATE(YEAR(B123),MONTH(B123),1))</f>
        <v/>
      </c>
      <c r="F123" s="9"/>
      <c r="G123" s="6"/>
      <c r="H123" s="6"/>
      <c r="I123" s="6"/>
    </row>
    <row r="124" customFormat="false" ht="15" hidden="false" customHeight="false" outlineLevel="0" collapsed="false">
      <c r="A124" s="6"/>
      <c r="B124" s="10"/>
      <c r="C124" s="6"/>
      <c r="D124" s="14" t="str">
        <f aca="false">IF(C124="","",IFERROR(INDEX(Pacientes!$Q:$Q,MATCH(C124,Pacientes!$A:$A,0)),"ID no existe"))</f>
        <v/>
      </c>
      <c r="E124" s="15" t="str">
        <f aca="false">IF(B124="","",DATE(YEAR(B124),MONTH(B124),1))</f>
        <v/>
      </c>
      <c r="F124" s="9"/>
      <c r="G124" s="6"/>
      <c r="H124" s="6"/>
      <c r="I124" s="6"/>
    </row>
    <row r="125" customFormat="false" ht="15" hidden="false" customHeight="false" outlineLevel="0" collapsed="false">
      <c r="A125" s="6"/>
      <c r="B125" s="10"/>
      <c r="C125" s="6"/>
      <c r="D125" s="14" t="str">
        <f aca="false">IF(C125="","",IFERROR(INDEX(Pacientes!$Q:$Q,MATCH(C125,Pacientes!$A:$A,0)),"ID no existe"))</f>
        <v/>
      </c>
      <c r="E125" s="15" t="str">
        <f aca="false">IF(B125="","",DATE(YEAR(B125),MONTH(B125),1))</f>
        <v/>
      </c>
      <c r="F125" s="9"/>
      <c r="G125" s="6"/>
      <c r="H125" s="6"/>
      <c r="I125" s="6"/>
    </row>
    <row r="126" customFormat="false" ht="15" hidden="false" customHeight="false" outlineLevel="0" collapsed="false">
      <c r="A126" s="6"/>
      <c r="B126" s="10"/>
      <c r="C126" s="6"/>
      <c r="D126" s="14" t="str">
        <f aca="false">IF(C126="","",IFERROR(INDEX(Pacientes!$Q:$Q,MATCH(C126,Pacientes!$A:$A,0)),"ID no existe"))</f>
        <v/>
      </c>
      <c r="E126" s="15" t="str">
        <f aca="false">IF(B126="","",DATE(YEAR(B126),MONTH(B126),1))</f>
        <v/>
      </c>
      <c r="F126" s="9"/>
      <c r="G126" s="6"/>
      <c r="H126" s="6"/>
      <c r="I126" s="6"/>
    </row>
    <row r="127" customFormat="false" ht="15" hidden="false" customHeight="false" outlineLevel="0" collapsed="false">
      <c r="A127" s="6"/>
      <c r="B127" s="10"/>
      <c r="C127" s="6"/>
      <c r="D127" s="14" t="str">
        <f aca="false">IF(C127="","",IFERROR(INDEX(Pacientes!$Q:$Q,MATCH(C127,Pacientes!$A:$A,0)),"ID no existe"))</f>
        <v/>
      </c>
      <c r="E127" s="15" t="str">
        <f aca="false">IF(B127="","",DATE(YEAR(B127),MONTH(B127),1))</f>
        <v/>
      </c>
      <c r="F127" s="9"/>
      <c r="G127" s="6"/>
      <c r="H127" s="6"/>
      <c r="I127" s="6"/>
    </row>
    <row r="128" customFormat="false" ht="15" hidden="false" customHeight="false" outlineLevel="0" collapsed="false">
      <c r="A128" s="6"/>
      <c r="B128" s="10"/>
      <c r="C128" s="6"/>
      <c r="D128" s="14" t="str">
        <f aca="false">IF(C128="","",IFERROR(INDEX(Pacientes!$Q:$Q,MATCH(C128,Pacientes!$A:$A,0)),"ID no existe"))</f>
        <v/>
      </c>
      <c r="E128" s="15" t="str">
        <f aca="false">IF(B128="","",DATE(YEAR(B128),MONTH(B128),1))</f>
        <v/>
      </c>
      <c r="F128" s="9"/>
      <c r="G128" s="6"/>
      <c r="H128" s="6"/>
      <c r="I128" s="6"/>
    </row>
    <row r="129" customFormat="false" ht="15" hidden="false" customHeight="false" outlineLevel="0" collapsed="false">
      <c r="A129" s="6"/>
      <c r="B129" s="10"/>
      <c r="C129" s="6"/>
      <c r="D129" s="14" t="str">
        <f aca="false">IF(C129="","",IFERROR(INDEX(Pacientes!$Q:$Q,MATCH(C129,Pacientes!$A:$A,0)),"ID no existe"))</f>
        <v/>
      </c>
      <c r="E129" s="15" t="str">
        <f aca="false">IF(B129="","",DATE(YEAR(B129),MONTH(B129),1))</f>
        <v/>
      </c>
      <c r="F129" s="9"/>
      <c r="G129" s="6"/>
      <c r="H129" s="6"/>
      <c r="I129" s="6"/>
    </row>
    <row r="130" customFormat="false" ht="15" hidden="false" customHeight="false" outlineLevel="0" collapsed="false">
      <c r="A130" s="6"/>
      <c r="B130" s="10"/>
      <c r="C130" s="6"/>
      <c r="D130" s="14" t="str">
        <f aca="false">IF(C130="","",IFERROR(INDEX(Pacientes!$Q:$Q,MATCH(C130,Pacientes!$A:$A,0)),"ID no existe"))</f>
        <v/>
      </c>
      <c r="E130" s="15" t="str">
        <f aca="false">IF(B130="","",DATE(YEAR(B130),MONTH(B130),1))</f>
        <v/>
      </c>
      <c r="F130" s="9"/>
      <c r="G130" s="6"/>
      <c r="H130" s="6"/>
      <c r="I130" s="6"/>
    </row>
    <row r="131" customFormat="false" ht="15" hidden="false" customHeight="false" outlineLevel="0" collapsed="false">
      <c r="A131" s="6"/>
      <c r="B131" s="10"/>
      <c r="C131" s="6"/>
      <c r="D131" s="14" t="str">
        <f aca="false">IF(C131="","",IFERROR(INDEX(Pacientes!$Q:$Q,MATCH(C131,Pacientes!$A:$A,0)),"ID no existe"))</f>
        <v/>
      </c>
      <c r="E131" s="15" t="str">
        <f aca="false">IF(B131="","",DATE(YEAR(B131),MONTH(B131),1))</f>
        <v/>
      </c>
      <c r="F131" s="9"/>
      <c r="G131" s="6"/>
      <c r="H131" s="6"/>
      <c r="I131" s="6"/>
    </row>
    <row r="132" customFormat="false" ht="15" hidden="false" customHeight="false" outlineLevel="0" collapsed="false">
      <c r="A132" s="6"/>
      <c r="B132" s="10"/>
      <c r="C132" s="6"/>
      <c r="D132" s="14" t="str">
        <f aca="false">IF(C132="","",IFERROR(INDEX(Pacientes!$Q:$Q,MATCH(C132,Pacientes!$A:$A,0)),"ID no existe"))</f>
        <v/>
      </c>
      <c r="E132" s="15" t="str">
        <f aca="false">IF(B132="","",DATE(YEAR(B132),MONTH(B132),1))</f>
        <v/>
      </c>
      <c r="F132" s="9"/>
      <c r="G132" s="6"/>
      <c r="H132" s="6"/>
      <c r="I132" s="6"/>
    </row>
    <row r="133" customFormat="false" ht="15" hidden="false" customHeight="false" outlineLevel="0" collapsed="false">
      <c r="A133" s="6"/>
      <c r="B133" s="10"/>
      <c r="C133" s="6"/>
      <c r="D133" s="14" t="str">
        <f aca="false">IF(C133="","",IFERROR(INDEX(Pacientes!$Q:$Q,MATCH(C133,Pacientes!$A:$A,0)),"ID no existe"))</f>
        <v/>
      </c>
      <c r="E133" s="15" t="str">
        <f aca="false">IF(B133="","",DATE(YEAR(B133),MONTH(B133),1))</f>
        <v/>
      </c>
      <c r="F133" s="9"/>
      <c r="G133" s="6"/>
      <c r="H133" s="6"/>
      <c r="I133" s="6"/>
    </row>
    <row r="134" customFormat="false" ht="15" hidden="false" customHeight="false" outlineLevel="0" collapsed="false">
      <c r="A134" s="6"/>
      <c r="B134" s="10"/>
      <c r="C134" s="6"/>
      <c r="D134" s="14" t="str">
        <f aca="false">IF(C134="","",IFERROR(INDEX(Pacientes!$Q:$Q,MATCH(C134,Pacientes!$A:$A,0)),"ID no existe"))</f>
        <v/>
      </c>
      <c r="E134" s="15" t="str">
        <f aca="false">IF(B134="","",DATE(YEAR(B134),MONTH(B134),1))</f>
        <v/>
      </c>
      <c r="F134" s="9"/>
      <c r="G134" s="6"/>
      <c r="H134" s="6"/>
      <c r="I134" s="6"/>
    </row>
    <row r="135" customFormat="false" ht="15" hidden="false" customHeight="false" outlineLevel="0" collapsed="false">
      <c r="A135" s="6"/>
      <c r="B135" s="10"/>
      <c r="C135" s="6"/>
      <c r="D135" s="14" t="str">
        <f aca="false">IF(C135="","",IFERROR(INDEX(Pacientes!$Q:$Q,MATCH(C135,Pacientes!$A:$A,0)),"ID no existe"))</f>
        <v/>
      </c>
      <c r="E135" s="15" t="str">
        <f aca="false">IF(B135="","",DATE(YEAR(B135),MONTH(B135),1))</f>
        <v/>
      </c>
      <c r="F135" s="9"/>
      <c r="G135" s="6"/>
      <c r="H135" s="6"/>
      <c r="I135" s="6"/>
    </row>
    <row r="136" customFormat="false" ht="15" hidden="false" customHeight="false" outlineLevel="0" collapsed="false">
      <c r="A136" s="6"/>
      <c r="B136" s="10"/>
      <c r="C136" s="6"/>
      <c r="D136" s="14" t="str">
        <f aca="false">IF(C136="","",IFERROR(INDEX(Pacientes!$Q:$Q,MATCH(C136,Pacientes!$A:$A,0)),"ID no existe"))</f>
        <v/>
      </c>
      <c r="E136" s="15" t="str">
        <f aca="false">IF(B136="","",DATE(YEAR(B136),MONTH(B136),1))</f>
        <v/>
      </c>
      <c r="F136" s="9"/>
      <c r="G136" s="6"/>
      <c r="H136" s="6"/>
      <c r="I136" s="6"/>
    </row>
    <row r="137" customFormat="false" ht="15" hidden="false" customHeight="false" outlineLevel="0" collapsed="false">
      <c r="A137" s="6"/>
      <c r="B137" s="10"/>
      <c r="C137" s="6"/>
      <c r="D137" s="14" t="str">
        <f aca="false">IF(C137="","",IFERROR(INDEX(Pacientes!$Q:$Q,MATCH(C137,Pacientes!$A:$A,0)),"ID no existe"))</f>
        <v/>
      </c>
      <c r="E137" s="15" t="str">
        <f aca="false">IF(B137="","",DATE(YEAR(B137),MONTH(B137),1))</f>
        <v/>
      </c>
      <c r="F137" s="9"/>
      <c r="G137" s="6"/>
      <c r="H137" s="6"/>
      <c r="I137" s="6"/>
    </row>
    <row r="138" customFormat="false" ht="15" hidden="false" customHeight="false" outlineLevel="0" collapsed="false">
      <c r="A138" s="6"/>
      <c r="B138" s="10"/>
      <c r="C138" s="6"/>
      <c r="D138" s="14" t="str">
        <f aca="false">IF(C138="","",IFERROR(INDEX(Pacientes!$Q:$Q,MATCH(C138,Pacientes!$A:$A,0)),"ID no existe"))</f>
        <v/>
      </c>
      <c r="E138" s="15" t="str">
        <f aca="false">IF(B138="","",DATE(YEAR(B138),MONTH(B138),1))</f>
        <v/>
      </c>
      <c r="F138" s="9"/>
      <c r="G138" s="6"/>
      <c r="H138" s="6"/>
      <c r="I138" s="6"/>
    </row>
    <row r="139" customFormat="false" ht="15" hidden="false" customHeight="false" outlineLevel="0" collapsed="false">
      <c r="A139" s="6"/>
      <c r="B139" s="10"/>
      <c r="C139" s="6"/>
      <c r="D139" s="14" t="str">
        <f aca="false">IF(C139="","",IFERROR(INDEX(Pacientes!$Q:$Q,MATCH(C139,Pacientes!$A:$A,0)),"ID no existe"))</f>
        <v/>
      </c>
      <c r="E139" s="15" t="str">
        <f aca="false">IF(B139="","",DATE(YEAR(B139),MONTH(B139),1))</f>
        <v/>
      </c>
      <c r="F139" s="9"/>
      <c r="G139" s="6"/>
      <c r="H139" s="6"/>
      <c r="I139" s="6"/>
    </row>
    <row r="140" customFormat="false" ht="15" hidden="false" customHeight="false" outlineLevel="0" collapsed="false">
      <c r="A140" s="6"/>
      <c r="B140" s="10"/>
      <c r="C140" s="6"/>
      <c r="D140" s="14" t="str">
        <f aca="false">IF(C140="","",IFERROR(INDEX(Pacientes!$Q:$Q,MATCH(C140,Pacientes!$A:$A,0)),"ID no existe"))</f>
        <v/>
      </c>
      <c r="E140" s="15" t="str">
        <f aca="false">IF(B140="","",DATE(YEAR(B140),MONTH(B140),1))</f>
        <v/>
      </c>
      <c r="F140" s="9"/>
      <c r="G140" s="6"/>
      <c r="H140" s="6"/>
      <c r="I140" s="6"/>
    </row>
    <row r="141" customFormat="false" ht="15" hidden="false" customHeight="false" outlineLevel="0" collapsed="false">
      <c r="A141" s="6"/>
      <c r="B141" s="10"/>
      <c r="C141" s="6"/>
      <c r="D141" s="14" t="str">
        <f aca="false">IF(C141="","",IFERROR(INDEX(Pacientes!$Q:$Q,MATCH(C141,Pacientes!$A:$A,0)),"ID no existe"))</f>
        <v/>
      </c>
      <c r="E141" s="15" t="str">
        <f aca="false">IF(B141="","",DATE(YEAR(B141),MONTH(B141),1))</f>
        <v/>
      </c>
      <c r="F141" s="9"/>
      <c r="G141" s="6"/>
      <c r="H141" s="6"/>
      <c r="I141" s="6"/>
    </row>
    <row r="142" customFormat="false" ht="15" hidden="false" customHeight="false" outlineLevel="0" collapsed="false">
      <c r="A142" s="6"/>
      <c r="B142" s="10"/>
      <c r="C142" s="6"/>
      <c r="D142" s="14" t="str">
        <f aca="false">IF(C142="","",IFERROR(INDEX(Pacientes!$Q:$Q,MATCH(C142,Pacientes!$A:$A,0)),"ID no existe"))</f>
        <v/>
      </c>
      <c r="E142" s="15" t="str">
        <f aca="false">IF(B142="","",DATE(YEAR(B142),MONTH(B142),1))</f>
        <v/>
      </c>
      <c r="F142" s="9"/>
      <c r="G142" s="6"/>
      <c r="H142" s="6"/>
      <c r="I142" s="6"/>
    </row>
    <row r="143" customFormat="false" ht="15" hidden="false" customHeight="false" outlineLevel="0" collapsed="false">
      <c r="A143" s="6"/>
      <c r="B143" s="10"/>
      <c r="C143" s="6"/>
      <c r="D143" s="14" t="str">
        <f aca="false">IF(C143="","",IFERROR(INDEX(Pacientes!$Q:$Q,MATCH(C143,Pacientes!$A:$A,0)),"ID no existe"))</f>
        <v/>
      </c>
      <c r="E143" s="15" t="str">
        <f aca="false">IF(B143="","",DATE(YEAR(B143),MONTH(B143),1))</f>
        <v/>
      </c>
      <c r="F143" s="9"/>
      <c r="G143" s="6"/>
      <c r="H143" s="6"/>
      <c r="I143" s="6"/>
    </row>
    <row r="144" customFormat="false" ht="15" hidden="false" customHeight="false" outlineLevel="0" collapsed="false">
      <c r="A144" s="6"/>
      <c r="B144" s="10"/>
      <c r="C144" s="6"/>
      <c r="D144" s="14" t="str">
        <f aca="false">IF(C144="","",IFERROR(INDEX(Pacientes!$Q:$Q,MATCH(C144,Pacientes!$A:$A,0)),"ID no existe"))</f>
        <v/>
      </c>
      <c r="E144" s="15" t="str">
        <f aca="false">IF(B144="","",DATE(YEAR(B144),MONTH(B144),1))</f>
        <v/>
      </c>
      <c r="F144" s="9"/>
      <c r="G144" s="6"/>
      <c r="H144" s="6"/>
      <c r="I144" s="6"/>
    </row>
    <row r="145" customFormat="false" ht="15" hidden="false" customHeight="false" outlineLevel="0" collapsed="false">
      <c r="A145" s="6"/>
      <c r="B145" s="10"/>
      <c r="C145" s="6"/>
      <c r="D145" s="14" t="str">
        <f aca="false">IF(C145="","",IFERROR(INDEX(Pacientes!$Q:$Q,MATCH(C145,Pacientes!$A:$A,0)),"ID no existe"))</f>
        <v/>
      </c>
      <c r="E145" s="15" t="str">
        <f aca="false">IF(B145="","",DATE(YEAR(B145),MONTH(B145),1))</f>
        <v/>
      </c>
      <c r="F145" s="9"/>
      <c r="G145" s="6"/>
      <c r="H145" s="6"/>
      <c r="I145" s="6"/>
    </row>
    <row r="146" customFormat="false" ht="15" hidden="false" customHeight="false" outlineLevel="0" collapsed="false">
      <c r="A146" s="6"/>
      <c r="B146" s="10"/>
      <c r="C146" s="6"/>
      <c r="D146" s="14" t="str">
        <f aca="false">IF(C146="","",IFERROR(INDEX(Pacientes!$Q:$Q,MATCH(C146,Pacientes!$A:$A,0)),"ID no existe"))</f>
        <v/>
      </c>
      <c r="E146" s="15" t="str">
        <f aca="false">IF(B146="","",DATE(YEAR(B146),MONTH(B146),1))</f>
        <v/>
      </c>
      <c r="F146" s="9"/>
      <c r="G146" s="6"/>
      <c r="H146" s="6"/>
      <c r="I146" s="6"/>
    </row>
    <row r="147" customFormat="false" ht="15" hidden="false" customHeight="false" outlineLevel="0" collapsed="false">
      <c r="A147" s="6"/>
      <c r="B147" s="10"/>
      <c r="C147" s="6"/>
      <c r="D147" s="14" t="str">
        <f aca="false">IF(C147="","",IFERROR(INDEX(Pacientes!$Q:$Q,MATCH(C147,Pacientes!$A:$A,0)),"ID no existe"))</f>
        <v/>
      </c>
      <c r="E147" s="15" t="str">
        <f aca="false">IF(B147="","",DATE(YEAR(B147),MONTH(B147),1))</f>
        <v/>
      </c>
      <c r="F147" s="9"/>
      <c r="G147" s="6"/>
      <c r="H147" s="6"/>
      <c r="I147" s="6"/>
    </row>
    <row r="148" customFormat="false" ht="15" hidden="false" customHeight="false" outlineLevel="0" collapsed="false">
      <c r="A148" s="6"/>
      <c r="B148" s="10"/>
      <c r="C148" s="6"/>
      <c r="D148" s="14" t="str">
        <f aca="false">IF(C148="","",IFERROR(INDEX(Pacientes!$Q:$Q,MATCH(C148,Pacientes!$A:$A,0)),"ID no existe"))</f>
        <v/>
      </c>
      <c r="E148" s="15" t="str">
        <f aca="false">IF(B148="","",DATE(YEAR(B148),MONTH(B148),1))</f>
        <v/>
      </c>
      <c r="F148" s="9"/>
      <c r="G148" s="6"/>
      <c r="H148" s="6"/>
      <c r="I148" s="6"/>
    </row>
    <row r="149" customFormat="false" ht="15" hidden="false" customHeight="false" outlineLevel="0" collapsed="false">
      <c r="A149" s="6"/>
      <c r="B149" s="10"/>
      <c r="C149" s="6"/>
      <c r="D149" s="14" t="str">
        <f aca="false">IF(C149="","",IFERROR(INDEX(Pacientes!$Q:$Q,MATCH(C149,Pacientes!$A:$A,0)),"ID no existe"))</f>
        <v/>
      </c>
      <c r="E149" s="15" t="str">
        <f aca="false">IF(B149="","",DATE(YEAR(B149),MONTH(B149),1))</f>
        <v/>
      </c>
      <c r="F149" s="9"/>
      <c r="G149" s="6"/>
      <c r="H149" s="6"/>
      <c r="I149" s="6"/>
    </row>
    <row r="150" customFormat="false" ht="15" hidden="false" customHeight="false" outlineLevel="0" collapsed="false">
      <c r="A150" s="6"/>
      <c r="B150" s="10"/>
      <c r="C150" s="6"/>
      <c r="D150" s="14" t="str">
        <f aca="false">IF(C150="","",IFERROR(INDEX(Pacientes!$Q:$Q,MATCH(C150,Pacientes!$A:$A,0)),"ID no existe"))</f>
        <v/>
      </c>
      <c r="E150" s="15" t="str">
        <f aca="false">IF(B150="","",DATE(YEAR(B150),MONTH(B150),1))</f>
        <v/>
      </c>
      <c r="F150" s="9"/>
      <c r="G150" s="6"/>
      <c r="H150" s="6"/>
      <c r="I150" s="6"/>
    </row>
    <row r="151" customFormat="false" ht="15" hidden="false" customHeight="false" outlineLevel="0" collapsed="false">
      <c r="A151" s="6"/>
      <c r="B151" s="10"/>
      <c r="C151" s="6"/>
      <c r="D151" s="14" t="str">
        <f aca="false">IF(C151="","",IFERROR(INDEX(Pacientes!$Q:$Q,MATCH(C151,Pacientes!$A:$A,0)),"ID no existe"))</f>
        <v/>
      </c>
      <c r="E151" s="15" t="str">
        <f aca="false">IF(B151="","",DATE(YEAR(B151),MONTH(B151),1))</f>
        <v/>
      </c>
      <c r="F151" s="9"/>
      <c r="G151" s="6"/>
      <c r="H151" s="6"/>
      <c r="I151" s="6"/>
    </row>
    <row r="152" customFormat="false" ht="15" hidden="false" customHeight="false" outlineLevel="0" collapsed="false">
      <c r="A152" s="6"/>
      <c r="B152" s="10"/>
      <c r="C152" s="6"/>
      <c r="D152" s="14" t="str">
        <f aca="false">IF(C152="","",IFERROR(INDEX(Pacientes!$Q:$Q,MATCH(C152,Pacientes!$A:$A,0)),"ID no existe"))</f>
        <v/>
      </c>
      <c r="E152" s="15" t="str">
        <f aca="false">IF(B152="","",DATE(YEAR(B152),MONTH(B152),1))</f>
        <v/>
      </c>
      <c r="F152" s="9"/>
      <c r="G152" s="6"/>
      <c r="H152" s="6"/>
      <c r="I152" s="6"/>
    </row>
    <row r="153" customFormat="false" ht="15" hidden="false" customHeight="false" outlineLevel="0" collapsed="false">
      <c r="A153" s="6"/>
      <c r="B153" s="10"/>
      <c r="C153" s="6"/>
      <c r="D153" s="14" t="str">
        <f aca="false">IF(C153="","",IFERROR(INDEX(Pacientes!$Q:$Q,MATCH(C153,Pacientes!$A:$A,0)),"ID no existe"))</f>
        <v/>
      </c>
      <c r="E153" s="15" t="str">
        <f aca="false">IF(B153="","",DATE(YEAR(B153),MONTH(B153),1))</f>
        <v/>
      </c>
      <c r="F153" s="9"/>
      <c r="G153" s="6"/>
      <c r="H153" s="6"/>
      <c r="I153" s="6"/>
    </row>
    <row r="154" customFormat="false" ht="15" hidden="false" customHeight="false" outlineLevel="0" collapsed="false">
      <c r="A154" s="6"/>
      <c r="B154" s="10"/>
      <c r="C154" s="6"/>
      <c r="D154" s="14" t="str">
        <f aca="false">IF(C154="","",IFERROR(INDEX(Pacientes!$Q:$Q,MATCH(C154,Pacientes!$A:$A,0)),"ID no existe"))</f>
        <v/>
      </c>
      <c r="E154" s="15" t="str">
        <f aca="false">IF(B154="","",DATE(YEAR(B154),MONTH(B154),1))</f>
        <v/>
      </c>
      <c r="F154" s="9"/>
      <c r="G154" s="6"/>
      <c r="H154" s="6"/>
      <c r="I154" s="6"/>
    </row>
    <row r="155" customFormat="false" ht="15" hidden="false" customHeight="false" outlineLevel="0" collapsed="false">
      <c r="A155" s="6"/>
      <c r="B155" s="10"/>
      <c r="C155" s="6"/>
      <c r="D155" s="14" t="str">
        <f aca="false">IF(C155="","",IFERROR(INDEX(Pacientes!$Q:$Q,MATCH(C155,Pacientes!$A:$A,0)),"ID no existe"))</f>
        <v/>
      </c>
      <c r="E155" s="15" t="str">
        <f aca="false">IF(B155="","",DATE(YEAR(B155),MONTH(B155),1))</f>
        <v/>
      </c>
      <c r="F155" s="9"/>
      <c r="G155" s="6"/>
      <c r="H155" s="6"/>
      <c r="I155" s="6"/>
    </row>
    <row r="156" customFormat="false" ht="15" hidden="false" customHeight="false" outlineLevel="0" collapsed="false">
      <c r="A156" s="6"/>
      <c r="B156" s="10"/>
      <c r="C156" s="6"/>
      <c r="D156" s="14" t="str">
        <f aca="false">IF(C156="","",IFERROR(INDEX(Pacientes!$Q:$Q,MATCH(C156,Pacientes!$A:$A,0)),"ID no existe"))</f>
        <v/>
      </c>
      <c r="E156" s="15" t="str">
        <f aca="false">IF(B156="","",DATE(YEAR(B156),MONTH(B156),1))</f>
        <v/>
      </c>
      <c r="F156" s="9"/>
      <c r="G156" s="6"/>
      <c r="H156" s="6"/>
      <c r="I156" s="6"/>
    </row>
    <row r="157" customFormat="false" ht="15" hidden="false" customHeight="false" outlineLevel="0" collapsed="false">
      <c r="A157" s="6"/>
      <c r="B157" s="10"/>
      <c r="C157" s="6"/>
      <c r="D157" s="14" t="str">
        <f aca="false">IF(C157="","",IFERROR(INDEX(Pacientes!$Q:$Q,MATCH(C157,Pacientes!$A:$A,0)),"ID no existe"))</f>
        <v/>
      </c>
      <c r="E157" s="15" t="str">
        <f aca="false">IF(B157="","",DATE(YEAR(B157),MONTH(B157),1))</f>
        <v/>
      </c>
      <c r="F157" s="9"/>
      <c r="G157" s="6"/>
      <c r="H157" s="6"/>
      <c r="I157" s="6"/>
    </row>
    <row r="158" customFormat="false" ht="15" hidden="false" customHeight="false" outlineLevel="0" collapsed="false">
      <c r="A158" s="6"/>
      <c r="B158" s="10"/>
      <c r="C158" s="6"/>
      <c r="D158" s="14" t="str">
        <f aca="false">IF(C158="","",IFERROR(INDEX(Pacientes!$Q:$Q,MATCH(C158,Pacientes!$A:$A,0)),"ID no existe"))</f>
        <v/>
      </c>
      <c r="E158" s="15" t="str">
        <f aca="false">IF(B158="","",DATE(YEAR(B158),MONTH(B158),1))</f>
        <v/>
      </c>
      <c r="F158" s="9"/>
      <c r="G158" s="6"/>
      <c r="H158" s="6"/>
      <c r="I158" s="6"/>
    </row>
    <row r="159" customFormat="false" ht="15" hidden="false" customHeight="false" outlineLevel="0" collapsed="false">
      <c r="A159" s="6"/>
      <c r="B159" s="10"/>
      <c r="C159" s="6"/>
      <c r="D159" s="14" t="str">
        <f aca="false">IF(C159="","",IFERROR(INDEX(Pacientes!$Q:$Q,MATCH(C159,Pacientes!$A:$A,0)),"ID no existe"))</f>
        <v/>
      </c>
      <c r="E159" s="15" t="str">
        <f aca="false">IF(B159="","",DATE(YEAR(B159),MONTH(B159),1))</f>
        <v/>
      </c>
      <c r="F159" s="9"/>
      <c r="G159" s="6"/>
      <c r="H159" s="6"/>
      <c r="I159" s="6"/>
    </row>
    <row r="160" customFormat="false" ht="15" hidden="false" customHeight="false" outlineLevel="0" collapsed="false">
      <c r="A160" s="6"/>
      <c r="B160" s="10"/>
      <c r="C160" s="6"/>
      <c r="D160" s="14" t="str">
        <f aca="false">IF(C160="","",IFERROR(INDEX(Pacientes!$Q:$Q,MATCH(C160,Pacientes!$A:$A,0)),"ID no existe"))</f>
        <v/>
      </c>
      <c r="E160" s="15" t="str">
        <f aca="false">IF(B160="","",DATE(YEAR(B160),MONTH(B160),1))</f>
        <v/>
      </c>
      <c r="F160" s="9"/>
      <c r="G160" s="6"/>
      <c r="H160" s="6"/>
      <c r="I160" s="6"/>
    </row>
    <row r="161" customFormat="false" ht="15" hidden="false" customHeight="false" outlineLevel="0" collapsed="false">
      <c r="A161" s="6"/>
      <c r="B161" s="10"/>
      <c r="C161" s="6"/>
      <c r="D161" s="14" t="str">
        <f aca="false">IF(C161="","",IFERROR(INDEX(Pacientes!$Q:$Q,MATCH(C161,Pacientes!$A:$A,0)),"ID no existe"))</f>
        <v/>
      </c>
      <c r="E161" s="15" t="str">
        <f aca="false">IF(B161="","",DATE(YEAR(B161),MONTH(B161),1))</f>
        <v/>
      </c>
      <c r="F161" s="9"/>
      <c r="G161" s="6"/>
      <c r="H161" s="6"/>
      <c r="I161" s="6"/>
    </row>
    <row r="162" customFormat="false" ht="15" hidden="false" customHeight="false" outlineLevel="0" collapsed="false">
      <c r="A162" s="6"/>
      <c r="B162" s="10"/>
      <c r="C162" s="6"/>
      <c r="D162" s="14" t="str">
        <f aca="false">IF(C162="","",IFERROR(INDEX(Pacientes!$Q:$Q,MATCH(C162,Pacientes!$A:$A,0)),"ID no existe"))</f>
        <v/>
      </c>
      <c r="E162" s="15" t="str">
        <f aca="false">IF(B162="","",DATE(YEAR(B162),MONTH(B162),1))</f>
        <v/>
      </c>
      <c r="F162" s="9"/>
      <c r="G162" s="6"/>
      <c r="H162" s="6"/>
      <c r="I162" s="6"/>
    </row>
    <row r="163" customFormat="false" ht="15" hidden="false" customHeight="false" outlineLevel="0" collapsed="false">
      <c r="A163" s="6"/>
      <c r="B163" s="10"/>
      <c r="C163" s="6"/>
      <c r="D163" s="14" t="str">
        <f aca="false">IF(C163="","",IFERROR(INDEX(Pacientes!$Q:$Q,MATCH(C163,Pacientes!$A:$A,0)),"ID no existe"))</f>
        <v/>
      </c>
      <c r="E163" s="15" t="str">
        <f aca="false">IF(B163="","",DATE(YEAR(B163),MONTH(B163),1))</f>
        <v/>
      </c>
      <c r="F163" s="9"/>
      <c r="G163" s="6"/>
      <c r="H163" s="6"/>
      <c r="I163" s="6"/>
    </row>
    <row r="164" customFormat="false" ht="15" hidden="false" customHeight="false" outlineLevel="0" collapsed="false">
      <c r="A164" s="6"/>
      <c r="B164" s="10"/>
      <c r="C164" s="6"/>
      <c r="D164" s="14" t="str">
        <f aca="false">IF(C164="","",IFERROR(INDEX(Pacientes!$Q:$Q,MATCH(C164,Pacientes!$A:$A,0)),"ID no existe"))</f>
        <v/>
      </c>
      <c r="E164" s="15" t="str">
        <f aca="false">IF(B164="","",DATE(YEAR(B164),MONTH(B164),1))</f>
        <v/>
      </c>
      <c r="F164" s="9"/>
      <c r="G164" s="6"/>
      <c r="H164" s="6"/>
      <c r="I164" s="6"/>
    </row>
    <row r="165" customFormat="false" ht="15" hidden="false" customHeight="false" outlineLevel="0" collapsed="false">
      <c r="A165" s="6"/>
      <c r="B165" s="10"/>
      <c r="C165" s="6"/>
      <c r="D165" s="14" t="str">
        <f aca="false">IF(C165="","",IFERROR(INDEX(Pacientes!$Q:$Q,MATCH(C165,Pacientes!$A:$A,0)),"ID no existe"))</f>
        <v/>
      </c>
      <c r="E165" s="15" t="str">
        <f aca="false">IF(B165="","",DATE(YEAR(B165),MONTH(B165),1))</f>
        <v/>
      </c>
      <c r="F165" s="9"/>
      <c r="G165" s="6"/>
      <c r="H165" s="6"/>
      <c r="I165" s="6"/>
    </row>
    <row r="166" customFormat="false" ht="15" hidden="false" customHeight="false" outlineLevel="0" collapsed="false">
      <c r="A166" s="6"/>
      <c r="B166" s="10"/>
      <c r="C166" s="6"/>
      <c r="D166" s="14" t="str">
        <f aca="false">IF(C166="","",IFERROR(INDEX(Pacientes!$Q:$Q,MATCH(C166,Pacientes!$A:$A,0)),"ID no existe"))</f>
        <v/>
      </c>
      <c r="E166" s="15" t="str">
        <f aca="false">IF(B166="","",DATE(YEAR(B166),MONTH(B166),1))</f>
        <v/>
      </c>
      <c r="F166" s="9"/>
      <c r="G166" s="6"/>
      <c r="H166" s="6"/>
      <c r="I166" s="6"/>
    </row>
    <row r="167" customFormat="false" ht="15" hidden="false" customHeight="false" outlineLevel="0" collapsed="false">
      <c r="A167" s="6"/>
      <c r="B167" s="10"/>
      <c r="C167" s="6"/>
      <c r="D167" s="14" t="str">
        <f aca="false">IF(C167="","",IFERROR(INDEX(Pacientes!$Q:$Q,MATCH(C167,Pacientes!$A:$A,0)),"ID no existe"))</f>
        <v/>
      </c>
      <c r="E167" s="15" t="str">
        <f aca="false">IF(B167="","",DATE(YEAR(B167),MONTH(B167),1))</f>
        <v/>
      </c>
      <c r="F167" s="9"/>
      <c r="G167" s="6"/>
      <c r="H167" s="6"/>
      <c r="I167" s="6"/>
    </row>
    <row r="168" customFormat="false" ht="15" hidden="false" customHeight="false" outlineLevel="0" collapsed="false">
      <c r="A168" s="6"/>
      <c r="B168" s="10"/>
      <c r="C168" s="6"/>
      <c r="D168" s="14" t="str">
        <f aca="false">IF(C168="","",IFERROR(INDEX(Pacientes!$Q:$Q,MATCH(C168,Pacientes!$A:$A,0)),"ID no existe"))</f>
        <v/>
      </c>
      <c r="E168" s="15" t="str">
        <f aca="false">IF(B168="","",DATE(YEAR(B168),MONTH(B168),1))</f>
        <v/>
      </c>
      <c r="F168" s="9"/>
      <c r="G168" s="6"/>
      <c r="H168" s="6"/>
      <c r="I168" s="6"/>
    </row>
    <row r="169" customFormat="false" ht="15" hidden="false" customHeight="false" outlineLevel="0" collapsed="false">
      <c r="A169" s="6"/>
      <c r="B169" s="10"/>
      <c r="C169" s="6"/>
      <c r="D169" s="14" t="str">
        <f aca="false">IF(C169="","",IFERROR(INDEX(Pacientes!$Q:$Q,MATCH(C169,Pacientes!$A:$A,0)),"ID no existe"))</f>
        <v/>
      </c>
      <c r="E169" s="15" t="str">
        <f aca="false">IF(B169="","",DATE(YEAR(B169),MONTH(B169),1))</f>
        <v/>
      </c>
      <c r="F169" s="9"/>
      <c r="G169" s="6"/>
      <c r="H169" s="6"/>
      <c r="I169" s="6"/>
    </row>
    <row r="170" customFormat="false" ht="15" hidden="false" customHeight="false" outlineLevel="0" collapsed="false">
      <c r="A170" s="6"/>
      <c r="B170" s="10"/>
      <c r="C170" s="6"/>
      <c r="D170" s="14" t="str">
        <f aca="false">IF(C170="","",IFERROR(INDEX(Pacientes!$Q:$Q,MATCH(C170,Pacientes!$A:$A,0)),"ID no existe"))</f>
        <v/>
      </c>
      <c r="E170" s="15" t="str">
        <f aca="false">IF(B170="","",DATE(YEAR(B170),MONTH(B170),1))</f>
        <v/>
      </c>
      <c r="F170" s="9"/>
      <c r="G170" s="6"/>
      <c r="H170" s="6"/>
      <c r="I170" s="6"/>
    </row>
    <row r="171" customFormat="false" ht="15" hidden="false" customHeight="false" outlineLevel="0" collapsed="false">
      <c r="A171" s="6"/>
      <c r="B171" s="10"/>
      <c r="C171" s="6"/>
      <c r="D171" s="14" t="str">
        <f aca="false">IF(C171="","",IFERROR(INDEX(Pacientes!$Q:$Q,MATCH(C171,Pacientes!$A:$A,0)),"ID no existe"))</f>
        <v/>
      </c>
      <c r="E171" s="15" t="str">
        <f aca="false">IF(B171="","",DATE(YEAR(B171),MONTH(B171),1))</f>
        <v/>
      </c>
      <c r="F171" s="9"/>
      <c r="G171" s="6"/>
      <c r="H171" s="6"/>
      <c r="I171" s="6"/>
    </row>
    <row r="172" customFormat="false" ht="15" hidden="false" customHeight="false" outlineLevel="0" collapsed="false">
      <c r="A172" s="6"/>
      <c r="B172" s="10"/>
      <c r="C172" s="6"/>
      <c r="D172" s="14" t="str">
        <f aca="false">IF(C172="","",IFERROR(INDEX(Pacientes!$Q:$Q,MATCH(C172,Pacientes!$A:$A,0)),"ID no existe"))</f>
        <v/>
      </c>
      <c r="E172" s="15" t="str">
        <f aca="false">IF(B172="","",DATE(YEAR(B172),MONTH(B172),1))</f>
        <v/>
      </c>
      <c r="F172" s="9"/>
      <c r="G172" s="6"/>
      <c r="H172" s="6"/>
      <c r="I172" s="6"/>
    </row>
    <row r="173" customFormat="false" ht="15" hidden="false" customHeight="false" outlineLevel="0" collapsed="false">
      <c r="A173" s="6"/>
      <c r="B173" s="10"/>
      <c r="C173" s="6"/>
      <c r="D173" s="14" t="str">
        <f aca="false">IF(C173="","",IFERROR(INDEX(Pacientes!$Q:$Q,MATCH(C173,Pacientes!$A:$A,0)),"ID no existe"))</f>
        <v/>
      </c>
      <c r="E173" s="15" t="str">
        <f aca="false">IF(B173="","",DATE(YEAR(B173),MONTH(B173),1))</f>
        <v/>
      </c>
      <c r="F173" s="9"/>
      <c r="G173" s="6"/>
      <c r="H173" s="6"/>
      <c r="I173" s="6"/>
    </row>
    <row r="174" customFormat="false" ht="15" hidden="false" customHeight="false" outlineLevel="0" collapsed="false">
      <c r="A174" s="6"/>
      <c r="B174" s="10"/>
      <c r="C174" s="6"/>
      <c r="D174" s="14" t="str">
        <f aca="false">IF(C174="","",IFERROR(INDEX(Pacientes!$Q:$Q,MATCH(C174,Pacientes!$A:$A,0)),"ID no existe"))</f>
        <v/>
      </c>
      <c r="E174" s="15" t="str">
        <f aca="false">IF(B174="","",DATE(YEAR(B174),MONTH(B174),1))</f>
        <v/>
      </c>
      <c r="F174" s="9"/>
      <c r="G174" s="6"/>
      <c r="H174" s="6"/>
      <c r="I174" s="6"/>
    </row>
    <row r="175" customFormat="false" ht="15" hidden="false" customHeight="false" outlineLevel="0" collapsed="false">
      <c r="A175" s="6"/>
      <c r="B175" s="10"/>
      <c r="C175" s="6"/>
      <c r="D175" s="14" t="str">
        <f aca="false">IF(C175="","",IFERROR(INDEX(Pacientes!$Q:$Q,MATCH(C175,Pacientes!$A:$A,0)),"ID no existe"))</f>
        <v/>
      </c>
      <c r="E175" s="15" t="str">
        <f aca="false">IF(B175="","",DATE(YEAR(B175),MONTH(B175),1))</f>
        <v/>
      </c>
      <c r="F175" s="9"/>
      <c r="G175" s="6"/>
      <c r="H175" s="6"/>
      <c r="I175" s="6"/>
    </row>
    <row r="176" customFormat="false" ht="15" hidden="false" customHeight="false" outlineLevel="0" collapsed="false">
      <c r="A176" s="6"/>
      <c r="B176" s="10"/>
      <c r="C176" s="6"/>
      <c r="D176" s="14" t="str">
        <f aca="false">IF(C176="","",IFERROR(INDEX(Pacientes!$Q:$Q,MATCH(C176,Pacientes!$A:$A,0)),"ID no existe"))</f>
        <v/>
      </c>
      <c r="E176" s="15" t="str">
        <f aca="false">IF(B176="","",DATE(YEAR(B176),MONTH(B176),1))</f>
        <v/>
      </c>
      <c r="F176" s="9"/>
      <c r="G176" s="6"/>
      <c r="H176" s="6"/>
      <c r="I176" s="6"/>
    </row>
    <row r="177" customFormat="false" ht="15" hidden="false" customHeight="false" outlineLevel="0" collapsed="false">
      <c r="A177" s="6"/>
      <c r="B177" s="10"/>
      <c r="C177" s="6"/>
      <c r="D177" s="14" t="str">
        <f aca="false">IF(C177="","",IFERROR(INDEX(Pacientes!$Q:$Q,MATCH(C177,Pacientes!$A:$A,0)),"ID no existe"))</f>
        <v/>
      </c>
      <c r="E177" s="15" t="str">
        <f aca="false">IF(B177="","",DATE(YEAR(B177),MONTH(B177),1))</f>
        <v/>
      </c>
      <c r="F177" s="9"/>
      <c r="G177" s="6"/>
      <c r="H177" s="6"/>
      <c r="I177" s="6"/>
    </row>
    <row r="178" customFormat="false" ht="15" hidden="false" customHeight="false" outlineLevel="0" collapsed="false">
      <c r="A178" s="6"/>
      <c r="B178" s="10"/>
      <c r="C178" s="6"/>
      <c r="D178" s="14" t="str">
        <f aca="false">IF(C178="","",IFERROR(INDEX(Pacientes!$Q:$Q,MATCH(C178,Pacientes!$A:$A,0)),"ID no existe"))</f>
        <v/>
      </c>
      <c r="E178" s="15" t="str">
        <f aca="false">IF(B178="","",DATE(YEAR(B178),MONTH(B178),1))</f>
        <v/>
      </c>
      <c r="F178" s="9"/>
      <c r="G178" s="6"/>
      <c r="H178" s="6"/>
      <c r="I178" s="6"/>
    </row>
    <row r="179" customFormat="false" ht="15" hidden="false" customHeight="false" outlineLevel="0" collapsed="false">
      <c r="A179" s="6"/>
      <c r="B179" s="10"/>
      <c r="C179" s="6"/>
      <c r="D179" s="14" t="str">
        <f aca="false">IF(C179="","",IFERROR(INDEX(Pacientes!$Q:$Q,MATCH(C179,Pacientes!$A:$A,0)),"ID no existe"))</f>
        <v/>
      </c>
      <c r="E179" s="15" t="str">
        <f aca="false">IF(B179="","",DATE(YEAR(B179),MONTH(B179),1))</f>
        <v/>
      </c>
      <c r="F179" s="9"/>
      <c r="G179" s="6"/>
      <c r="H179" s="6"/>
      <c r="I179" s="6"/>
    </row>
    <row r="180" customFormat="false" ht="15" hidden="false" customHeight="false" outlineLevel="0" collapsed="false">
      <c r="A180" s="6"/>
      <c r="B180" s="10"/>
      <c r="C180" s="6"/>
      <c r="D180" s="14" t="str">
        <f aca="false">IF(C180="","",IFERROR(INDEX(Pacientes!$Q:$Q,MATCH(C180,Pacientes!$A:$A,0)),"ID no existe"))</f>
        <v/>
      </c>
      <c r="E180" s="15" t="str">
        <f aca="false">IF(B180="","",DATE(YEAR(B180),MONTH(B180),1))</f>
        <v/>
      </c>
      <c r="F180" s="9"/>
      <c r="G180" s="6"/>
      <c r="H180" s="6"/>
      <c r="I180" s="6"/>
    </row>
    <row r="181" customFormat="false" ht="15" hidden="false" customHeight="false" outlineLevel="0" collapsed="false">
      <c r="A181" s="6"/>
      <c r="B181" s="10"/>
      <c r="C181" s="6"/>
      <c r="D181" s="14" t="str">
        <f aca="false">IF(C181="","",IFERROR(INDEX(Pacientes!$Q:$Q,MATCH(C181,Pacientes!$A:$A,0)),"ID no existe"))</f>
        <v/>
      </c>
      <c r="E181" s="15" t="str">
        <f aca="false">IF(B181="","",DATE(YEAR(B181),MONTH(B181),1))</f>
        <v/>
      </c>
      <c r="F181" s="9"/>
      <c r="G181" s="6"/>
      <c r="H181" s="6"/>
      <c r="I181" s="6"/>
    </row>
    <row r="182" customFormat="false" ht="15" hidden="false" customHeight="false" outlineLevel="0" collapsed="false">
      <c r="A182" s="6"/>
      <c r="B182" s="10"/>
      <c r="C182" s="6"/>
      <c r="D182" s="14" t="str">
        <f aca="false">IF(C182="","",IFERROR(INDEX(Pacientes!$Q:$Q,MATCH(C182,Pacientes!$A:$A,0)),"ID no existe"))</f>
        <v/>
      </c>
      <c r="E182" s="15" t="str">
        <f aca="false">IF(B182="","",DATE(YEAR(B182),MONTH(B182),1))</f>
        <v/>
      </c>
      <c r="F182" s="9"/>
      <c r="G182" s="6"/>
      <c r="H182" s="6"/>
      <c r="I182" s="6"/>
    </row>
    <row r="183" customFormat="false" ht="15" hidden="false" customHeight="false" outlineLevel="0" collapsed="false">
      <c r="A183" s="6"/>
      <c r="B183" s="10"/>
      <c r="C183" s="6"/>
      <c r="D183" s="14" t="str">
        <f aca="false">IF(C183="","",IFERROR(INDEX(Pacientes!$Q:$Q,MATCH(C183,Pacientes!$A:$A,0)),"ID no existe"))</f>
        <v/>
      </c>
      <c r="E183" s="15" t="str">
        <f aca="false">IF(B183="","",DATE(YEAR(B183),MONTH(B183),1))</f>
        <v/>
      </c>
      <c r="F183" s="9"/>
      <c r="G183" s="6"/>
      <c r="H183" s="6"/>
      <c r="I183" s="6"/>
    </row>
    <row r="184" customFormat="false" ht="15" hidden="false" customHeight="false" outlineLevel="0" collapsed="false">
      <c r="A184" s="6"/>
      <c r="B184" s="10"/>
      <c r="C184" s="6"/>
      <c r="D184" s="14" t="str">
        <f aca="false">IF(C184="","",IFERROR(INDEX(Pacientes!$Q:$Q,MATCH(C184,Pacientes!$A:$A,0)),"ID no existe"))</f>
        <v/>
      </c>
      <c r="E184" s="15" t="str">
        <f aca="false">IF(B184="","",DATE(YEAR(B184),MONTH(B184),1))</f>
        <v/>
      </c>
      <c r="F184" s="9"/>
      <c r="G184" s="6"/>
      <c r="H184" s="6"/>
      <c r="I184" s="6"/>
    </row>
    <row r="185" customFormat="false" ht="15" hidden="false" customHeight="false" outlineLevel="0" collapsed="false">
      <c r="A185" s="6"/>
      <c r="B185" s="10"/>
      <c r="C185" s="6"/>
      <c r="D185" s="14" t="str">
        <f aca="false">IF(C185="","",IFERROR(INDEX(Pacientes!$Q:$Q,MATCH(C185,Pacientes!$A:$A,0)),"ID no existe"))</f>
        <v/>
      </c>
      <c r="E185" s="15" t="str">
        <f aca="false">IF(B185="","",DATE(YEAR(B185),MONTH(B185),1))</f>
        <v/>
      </c>
      <c r="F185" s="9"/>
      <c r="G185" s="6"/>
      <c r="H185" s="6"/>
      <c r="I185" s="6"/>
    </row>
    <row r="186" customFormat="false" ht="15" hidden="false" customHeight="false" outlineLevel="0" collapsed="false">
      <c r="A186" s="6"/>
      <c r="B186" s="10"/>
      <c r="C186" s="6"/>
      <c r="D186" s="14" t="str">
        <f aca="false">IF(C186="","",IFERROR(INDEX(Pacientes!$Q:$Q,MATCH(C186,Pacientes!$A:$A,0)),"ID no existe"))</f>
        <v/>
      </c>
      <c r="E186" s="15" t="str">
        <f aca="false">IF(B186="","",DATE(YEAR(B186),MONTH(B186),1))</f>
        <v/>
      </c>
      <c r="F186" s="9"/>
      <c r="G186" s="6"/>
      <c r="H186" s="6"/>
      <c r="I186" s="6"/>
    </row>
    <row r="187" customFormat="false" ht="15" hidden="false" customHeight="false" outlineLevel="0" collapsed="false">
      <c r="A187" s="6"/>
      <c r="B187" s="10"/>
      <c r="C187" s="6"/>
      <c r="D187" s="14" t="str">
        <f aca="false">IF(C187="","",IFERROR(INDEX(Pacientes!$Q:$Q,MATCH(C187,Pacientes!$A:$A,0)),"ID no existe"))</f>
        <v/>
      </c>
      <c r="E187" s="15" t="str">
        <f aca="false">IF(B187="","",DATE(YEAR(B187),MONTH(B187),1))</f>
        <v/>
      </c>
      <c r="F187" s="9"/>
      <c r="G187" s="6"/>
      <c r="H187" s="6"/>
      <c r="I187" s="6"/>
    </row>
    <row r="188" customFormat="false" ht="15" hidden="false" customHeight="false" outlineLevel="0" collapsed="false">
      <c r="A188" s="6"/>
      <c r="B188" s="10"/>
      <c r="C188" s="6"/>
      <c r="D188" s="14" t="str">
        <f aca="false">IF(C188="","",IFERROR(INDEX(Pacientes!$Q:$Q,MATCH(C188,Pacientes!$A:$A,0)),"ID no existe"))</f>
        <v/>
      </c>
      <c r="E188" s="15" t="str">
        <f aca="false">IF(B188="","",DATE(YEAR(B188),MONTH(B188),1))</f>
        <v/>
      </c>
      <c r="F188" s="9"/>
      <c r="G188" s="6"/>
      <c r="H188" s="6"/>
      <c r="I188" s="6"/>
    </row>
    <row r="189" customFormat="false" ht="15" hidden="false" customHeight="false" outlineLevel="0" collapsed="false">
      <c r="A189" s="6"/>
      <c r="B189" s="10"/>
      <c r="C189" s="6"/>
      <c r="D189" s="14" t="str">
        <f aca="false">IF(C189="","",IFERROR(INDEX(Pacientes!$Q:$Q,MATCH(C189,Pacientes!$A:$A,0)),"ID no existe"))</f>
        <v/>
      </c>
      <c r="E189" s="15" t="str">
        <f aca="false">IF(B189="","",DATE(YEAR(B189),MONTH(B189),1))</f>
        <v/>
      </c>
      <c r="F189" s="9"/>
      <c r="G189" s="6"/>
      <c r="H189" s="6"/>
      <c r="I189" s="6"/>
    </row>
    <row r="190" customFormat="false" ht="15" hidden="false" customHeight="false" outlineLevel="0" collapsed="false">
      <c r="A190" s="6"/>
      <c r="B190" s="10"/>
      <c r="C190" s="6"/>
      <c r="D190" s="14" t="str">
        <f aca="false">IF(C190="","",IFERROR(INDEX(Pacientes!$Q:$Q,MATCH(C190,Pacientes!$A:$A,0)),"ID no existe"))</f>
        <v/>
      </c>
      <c r="E190" s="15" t="str">
        <f aca="false">IF(B190="","",DATE(YEAR(B190),MONTH(B190),1))</f>
        <v/>
      </c>
      <c r="F190" s="9"/>
      <c r="G190" s="6"/>
      <c r="H190" s="6"/>
      <c r="I190" s="6"/>
    </row>
    <row r="191" customFormat="false" ht="15" hidden="false" customHeight="false" outlineLevel="0" collapsed="false">
      <c r="A191" s="6"/>
      <c r="B191" s="10"/>
      <c r="C191" s="6"/>
      <c r="D191" s="14" t="str">
        <f aca="false">IF(C191="","",IFERROR(INDEX(Pacientes!$Q:$Q,MATCH(C191,Pacientes!$A:$A,0)),"ID no existe"))</f>
        <v/>
      </c>
      <c r="E191" s="15" t="str">
        <f aca="false">IF(B191="","",DATE(YEAR(B191),MONTH(B191),1))</f>
        <v/>
      </c>
      <c r="F191" s="9"/>
      <c r="G191" s="6"/>
      <c r="H191" s="6"/>
      <c r="I191" s="6"/>
    </row>
    <row r="192" customFormat="false" ht="15" hidden="false" customHeight="false" outlineLevel="0" collapsed="false">
      <c r="A192" s="6"/>
      <c r="B192" s="10"/>
      <c r="C192" s="6"/>
      <c r="D192" s="14" t="str">
        <f aca="false">IF(C192="","",IFERROR(INDEX(Pacientes!$Q:$Q,MATCH(C192,Pacientes!$A:$A,0)),"ID no existe"))</f>
        <v/>
      </c>
      <c r="E192" s="15" t="str">
        <f aca="false">IF(B192="","",DATE(YEAR(B192),MONTH(B192),1))</f>
        <v/>
      </c>
      <c r="F192" s="9"/>
      <c r="G192" s="6"/>
      <c r="H192" s="6"/>
      <c r="I192" s="6"/>
    </row>
    <row r="193" customFormat="false" ht="15" hidden="false" customHeight="false" outlineLevel="0" collapsed="false">
      <c r="A193" s="6"/>
      <c r="B193" s="10"/>
      <c r="C193" s="6"/>
      <c r="D193" s="14" t="str">
        <f aca="false">IF(C193="","",IFERROR(INDEX(Pacientes!$Q:$Q,MATCH(C193,Pacientes!$A:$A,0)),"ID no existe"))</f>
        <v/>
      </c>
      <c r="E193" s="15" t="str">
        <f aca="false">IF(B193="","",DATE(YEAR(B193),MONTH(B193),1))</f>
        <v/>
      </c>
      <c r="F193" s="9"/>
      <c r="G193" s="6"/>
      <c r="H193" s="6"/>
      <c r="I193" s="6"/>
    </row>
    <row r="194" customFormat="false" ht="15" hidden="false" customHeight="false" outlineLevel="0" collapsed="false">
      <c r="A194" s="6"/>
      <c r="B194" s="10"/>
      <c r="C194" s="6"/>
      <c r="D194" s="14" t="str">
        <f aca="false">IF(C194="","",IFERROR(INDEX(Pacientes!$Q:$Q,MATCH(C194,Pacientes!$A:$A,0)),"ID no existe"))</f>
        <v/>
      </c>
      <c r="E194" s="15" t="str">
        <f aca="false">IF(B194="","",DATE(YEAR(B194),MONTH(B194),1))</f>
        <v/>
      </c>
      <c r="F194" s="9"/>
      <c r="G194" s="6"/>
      <c r="H194" s="6"/>
      <c r="I194" s="6"/>
    </row>
    <row r="195" customFormat="false" ht="15" hidden="false" customHeight="false" outlineLevel="0" collapsed="false">
      <c r="A195" s="6"/>
      <c r="B195" s="10"/>
      <c r="C195" s="6"/>
      <c r="D195" s="14" t="str">
        <f aca="false">IF(C195="","",IFERROR(INDEX(Pacientes!$Q:$Q,MATCH(C195,Pacientes!$A:$A,0)),"ID no existe"))</f>
        <v/>
      </c>
      <c r="E195" s="15" t="str">
        <f aca="false">IF(B195="","",DATE(YEAR(B195),MONTH(B195),1))</f>
        <v/>
      </c>
      <c r="F195" s="9"/>
      <c r="G195" s="6"/>
      <c r="H195" s="6"/>
      <c r="I195" s="6"/>
    </row>
    <row r="196" customFormat="false" ht="15" hidden="false" customHeight="false" outlineLevel="0" collapsed="false">
      <c r="A196" s="6"/>
      <c r="B196" s="10"/>
      <c r="C196" s="6"/>
      <c r="D196" s="14" t="str">
        <f aca="false">IF(C196="","",IFERROR(INDEX(Pacientes!$Q:$Q,MATCH(C196,Pacientes!$A:$A,0)),"ID no existe"))</f>
        <v/>
      </c>
      <c r="E196" s="15" t="str">
        <f aca="false">IF(B196="","",DATE(YEAR(B196),MONTH(B196),1))</f>
        <v/>
      </c>
      <c r="F196" s="9"/>
      <c r="G196" s="6"/>
      <c r="H196" s="6"/>
      <c r="I196" s="6"/>
    </row>
    <row r="197" customFormat="false" ht="15" hidden="false" customHeight="false" outlineLevel="0" collapsed="false">
      <c r="A197" s="6"/>
      <c r="B197" s="10"/>
      <c r="C197" s="6"/>
      <c r="D197" s="14" t="str">
        <f aca="false">IF(C197="","",IFERROR(INDEX(Pacientes!$Q:$Q,MATCH(C197,Pacientes!$A:$A,0)),"ID no existe"))</f>
        <v/>
      </c>
      <c r="E197" s="15" t="str">
        <f aca="false">IF(B197="","",DATE(YEAR(B197),MONTH(B197),1))</f>
        <v/>
      </c>
      <c r="F197" s="9"/>
      <c r="G197" s="6"/>
      <c r="H197" s="6"/>
      <c r="I197" s="6"/>
    </row>
    <row r="198" customFormat="false" ht="15" hidden="false" customHeight="false" outlineLevel="0" collapsed="false">
      <c r="A198" s="6"/>
      <c r="B198" s="10"/>
      <c r="C198" s="6"/>
      <c r="D198" s="14" t="str">
        <f aca="false">IF(C198="","",IFERROR(INDEX(Pacientes!$Q:$Q,MATCH(C198,Pacientes!$A:$A,0)),"ID no existe"))</f>
        <v/>
      </c>
      <c r="E198" s="15" t="str">
        <f aca="false">IF(B198="","",DATE(YEAR(B198),MONTH(B198),1))</f>
        <v/>
      </c>
      <c r="F198" s="9"/>
      <c r="G198" s="6"/>
      <c r="H198" s="6"/>
      <c r="I198" s="6"/>
    </row>
    <row r="199" customFormat="false" ht="15" hidden="false" customHeight="false" outlineLevel="0" collapsed="false">
      <c r="A199" s="6"/>
      <c r="B199" s="10"/>
      <c r="C199" s="6"/>
      <c r="D199" s="14" t="str">
        <f aca="false">IF(C199="","",IFERROR(INDEX(Pacientes!$Q:$Q,MATCH(C199,Pacientes!$A:$A,0)),"ID no existe"))</f>
        <v/>
      </c>
      <c r="E199" s="15" t="str">
        <f aca="false">IF(B199="","",DATE(YEAR(B199),MONTH(B199),1))</f>
        <v/>
      </c>
      <c r="F199" s="9"/>
      <c r="G199" s="6"/>
      <c r="H199" s="6"/>
      <c r="I199" s="6"/>
    </row>
    <row r="200" customFormat="false" ht="15" hidden="false" customHeight="false" outlineLevel="0" collapsed="false">
      <c r="A200" s="6"/>
      <c r="B200" s="10"/>
      <c r="C200" s="6"/>
      <c r="D200" s="14" t="str">
        <f aca="false">IF(C200="","",IFERROR(INDEX(Pacientes!$Q:$Q,MATCH(C200,Pacientes!$A:$A,0)),"ID no existe"))</f>
        <v/>
      </c>
      <c r="E200" s="15" t="str">
        <f aca="false">IF(B200="","",DATE(YEAR(B200),MONTH(B200),1))</f>
        <v/>
      </c>
      <c r="F200" s="9"/>
      <c r="G200" s="6"/>
      <c r="H200" s="6"/>
      <c r="I200" s="6"/>
    </row>
    <row r="201" customFormat="false" ht="15" hidden="false" customHeight="false" outlineLevel="0" collapsed="false">
      <c r="A201" s="6"/>
      <c r="B201" s="10"/>
      <c r="C201" s="6"/>
      <c r="D201" s="14" t="str">
        <f aca="false">IF(C201="","",IFERROR(INDEX(Pacientes!$Q:$Q,MATCH(C201,Pacientes!$A:$A,0)),"ID no existe"))</f>
        <v/>
      </c>
      <c r="E201" s="15" t="str">
        <f aca="false">IF(B201="","",DATE(YEAR(B201),MONTH(B201),1))</f>
        <v/>
      </c>
      <c r="F201" s="9"/>
      <c r="G201" s="6"/>
      <c r="H201" s="6"/>
      <c r="I201" s="6"/>
    </row>
    <row r="202" customFormat="false" ht="15" hidden="false" customHeight="false" outlineLevel="0" collapsed="false">
      <c r="A202" s="6"/>
      <c r="B202" s="10"/>
      <c r="C202" s="6"/>
      <c r="D202" s="14" t="str">
        <f aca="false">IF(C202="","",IFERROR(INDEX(Pacientes!$Q:$Q,MATCH(C202,Pacientes!$A:$A,0)),"ID no existe"))</f>
        <v/>
      </c>
      <c r="E202" s="15" t="str">
        <f aca="false">IF(B202="","",DATE(YEAR(B202),MONTH(B202),1))</f>
        <v/>
      </c>
      <c r="F202" s="9"/>
      <c r="G202" s="6"/>
      <c r="H202" s="6"/>
      <c r="I202" s="6"/>
    </row>
    <row r="203" customFormat="false" ht="15" hidden="false" customHeight="false" outlineLevel="0" collapsed="false">
      <c r="A203" s="6"/>
      <c r="B203" s="10"/>
      <c r="C203" s="6"/>
      <c r="D203" s="14" t="str">
        <f aca="false">IF(C203="","",IFERROR(INDEX(Pacientes!$Q:$Q,MATCH(C203,Pacientes!$A:$A,0)),"ID no existe"))</f>
        <v/>
      </c>
      <c r="E203" s="15" t="str">
        <f aca="false">IF(B203="","",DATE(YEAR(B203),MONTH(B203),1))</f>
        <v/>
      </c>
      <c r="F203" s="9"/>
      <c r="G203" s="6"/>
      <c r="H203" s="6"/>
      <c r="I203" s="6"/>
    </row>
    <row r="204" customFormat="false" ht="15" hidden="false" customHeight="false" outlineLevel="0" collapsed="false">
      <c r="A204" s="6"/>
      <c r="B204" s="10"/>
      <c r="C204" s="6"/>
      <c r="D204" s="14" t="str">
        <f aca="false">IF(C204="","",IFERROR(INDEX(Pacientes!$Q:$Q,MATCH(C204,Pacientes!$A:$A,0)),"ID no existe"))</f>
        <v/>
      </c>
      <c r="E204" s="15" t="str">
        <f aca="false">IF(B204="","",DATE(YEAR(B204),MONTH(B204),1))</f>
        <v/>
      </c>
      <c r="F204" s="9"/>
      <c r="G204" s="6"/>
      <c r="H204" s="6"/>
      <c r="I204" s="6"/>
    </row>
    <row r="205" customFormat="false" ht="15" hidden="false" customHeight="false" outlineLevel="0" collapsed="false">
      <c r="A205" s="6"/>
      <c r="B205" s="10"/>
      <c r="C205" s="6"/>
      <c r="D205" s="14" t="str">
        <f aca="false">IF(C205="","",IFERROR(INDEX(Pacientes!$Q:$Q,MATCH(C205,Pacientes!$A:$A,0)),"ID no existe"))</f>
        <v/>
      </c>
      <c r="E205" s="15" t="str">
        <f aca="false">IF(B205="","",DATE(YEAR(B205),MONTH(B205),1))</f>
        <v/>
      </c>
      <c r="F205" s="9"/>
      <c r="G205" s="6"/>
      <c r="H205" s="6"/>
      <c r="I205" s="6"/>
    </row>
    <row r="206" customFormat="false" ht="15" hidden="false" customHeight="false" outlineLevel="0" collapsed="false">
      <c r="A206" s="6"/>
      <c r="B206" s="10"/>
      <c r="C206" s="6"/>
      <c r="D206" s="14" t="str">
        <f aca="false">IF(C206="","",IFERROR(INDEX(Pacientes!$Q:$Q,MATCH(C206,Pacientes!$A:$A,0)),"ID no existe"))</f>
        <v/>
      </c>
      <c r="E206" s="15" t="str">
        <f aca="false">IF(B206="","",DATE(YEAR(B206),MONTH(B206),1))</f>
        <v/>
      </c>
      <c r="F206" s="9"/>
      <c r="G206" s="6"/>
      <c r="H206" s="6"/>
      <c r="I206" s="6"/>
    </row>
    <row r="207" customFormat="false" ht="15" hidden="false" customHeight="false" outlineLevel="0" collapsed="false">
      <c r="A207" s="6"/>
      <c r="B207" s="10"/>
      <c r="C207" s="6"/>
      <c r="D207" s="14" t="str">
        <f aca="false">IF(C207="","",IFERROR(INDEX(Pacientes!$Q:$Q,MATCH(C207,Pacientes!$A:$A,0)),"ID no existe"))</f>
        <v/>
      </c>
      <c r="E207" s="15" t="str">
        <f aca="false">IF(B207="","",DATE(YEAR(B207),MONTH(B207),1))</f>
        <v/>
      </c>
      <c r="F207" s="9"/>
      <c r="G207" s="6"/>
      <c r="H207" s="6"/>
      <c r="I207" s="6"/>
    </row>
    <row r="208" customFormat="false" ht="15" hidden="false" customHeight="false" outlineLevel="0" collapsed="false">
      <c r="A208" s="6"/>
      <c r="B208" s="10"/>
      <c r="C208" s="6"/>
      <c r="D208" s="14" t="str">
        <f aca="false">IF(C208="","",IFERROR(INDEX(Pacientes!$Q:$Q,MATCH(C208,Pacientes!$A:$A,0)),"ID no existe"))</f>
        <v/>
      </c>
      <c r="E208" s="15" t="str">
        <f aca="false">IF(B208="","",DATE(YEAR(B208),MONTH(B208),1))</f>
        <v/>
      </c>
      <c r="F208" s="9"/>
      <c r="G208" s="6"/>
      <c r="H208" s="6"/>
      <c r="I208" s="6"/>
    </row>
    <row r="209" customFormat="false" ht="15" hidden="false" customHeight="false" outlineLevel="0" collapsed="false">
      <c r="A209" s="6"/>
      <c r="B209" s="10"/>
      <c r="C209" s="6"/>
      <c r="D209" s="14" t="str">
        <f aca="false">IF(C209="","",IFERROR(INDEX(Pacientes!$Q:$Q,MATCH(C209,Pacientes!$A:$A,0)),"ID no existe"))</f>
        <v/>
      </c>
      <c r="E209" s="15" t="str">
        <f aca="false">IF(B209="","",DATE(YEAR(B209),MONTH(B209),1))</f>
        <v/>
      </c>
      <c r="F209" s="9"/>
      <c r="G209" s="6"/>
      <c r="H209" s="6"/>
      <c r="I209" s="6"/>
    </row>
    <row r="210" customFormat="false" ht="15" hidden="false" customHeight="false" outlineLevel="0" collapsed="false">
      <c r="A210" s="6"/>
      <c r="B210" s="10"/>
      <c r="C210" s="6"/>
      <c r="D210" s="14" t="str">
        <f aca="false">IF(C210="","",IFERROR(INDEX(Pacientes!$Q:$Q,MATCH(C210,Pacientes!$A:$A,0)),"ID no existe"))</f>
        <v/>
      </c>
      <c r="E210" s="15" t="str">
        <f aca="false">IF(B210="","",DATE(YEAR(B210),MONTH(B210),1))</f>
        <v/>
      </c>
      <c r="F210" s="9"/>
      <c r="G210" s="6"/>
      <c r="H210" s="6"/>
      <c r="I210" s="6"/>
    </row>
    <row r="211" customFormat="false" ht="15" hidden="false" customHeight="false" outlineLevel="0" collapsed="false">
      <c r="A211" s="6"/>
      <c r="B211" s="10"/>
      <c r="C211" s="6"/>
      <c r="D211" s="14" t="str">
        <f aca="false">IF(C211="","",IFERROR(INDEX(Pacientes!$Q:$Q,MATCH(C211,Pacientes!$A:$A,0)),"ID no existe"))</f>
        <v/>
      </c>
      <c r="E211" s="15" t="str">
        <f aca="false">IF(B211="","",DATE(YEAR(B211),MONTH(B211),1))</f>
        <v/>
      </c>
      <c r="F211" s="9"/>
      <c r="G211" s="6"/>
      <c r="H211" s="6"/>
      <c r="I211" s="6"/>
    </row>
    <row r="212" customFormat="false" ht="15" hidden="false" customHeight="false" outlineLevel="0" collapsed="false">
      <c r="A212" s="6"/>
      <c r="B212" s="10"/>
      <c r="C212" s="6"/>
      <c r="D212" s="14" t="str">
        <f aca="false">IF(C212="","",IFERROR(INDEX(Pacientes!$Q:$Q,MATCH(C212,Pacientes!$A:$A,0)),"ID no existe"))</f>
        <v/>
      </c>
      <c r="E212" s="15" t="str">
        <f aca="false">IF(B212="","",DATE(YEAR(B212),MONTH(B212),1))</f>
        <v/>
      </c>
      <c r="F212" s="9"/>
      <c r="G212" s="6"/>
      <c r="H212" s="6"/>
      <c r="I212" s="6"/>
    </row>
    <row r="213" customFormat="false" ht="15" hidden="false" customHeight="false" outlineLevel="0" collapsed="false">
      <c r="A213" s="6"/>
      <c r="B213" s="10"/>
      <c r="C213" s="6"/>
      <c r="D213" s="14" t="str">
        <f aca="false">IF(C213="","",IFERROR(INDEX(Pacientes!$Q:$Q,MATCH(C213,Pacientes!$A:$A,0)),"ID no existe"))</f>
        <v/>
      </c>
      <c r="E213" s="15" t="str">
        <f aca="false">IF(B213="","",DATE(YEAR(B213),MONTH(B213),1))</f>
        <v/>
      </c>
      <c r="F213" s="9"/>
      <c r="G213" s="6"/>
      <c r="H213" s="6"/>
      <c r="I213" s="6"/>
    </row>
    <row r="214" customFormat="false" ht="15" hidden="false" customHeight="false" outlineLevel="0" collapsed="false">
      <c r="A214" s="6"/>
      <c r="B214" s="10"/>
      <c r="C214" s="6"/>
      <c r="D214" s="14" t="str">
        <f aca="false">IF(C214="","",IFERROR(INDEX(Pacientes!$Q:$Q,MATCH(C214,Pacientes!$A:$A,0)),"ID no existe"))</f>
        <v/>
      </c>
      <c r="E214" s="15" t="str">
        <f aca="false">IF(B214="","",DATE(YEAR(B214),MONTH(B214),1))</f>
        <v/>
      </c>
      <c r="F214" s="9"/>
      <c r="G214" s="6"/>
      <c r="H214" s="6"/>
      <c r="I214" s="6"/>
    </row>
    <row r="215" customFormat="false" ht="15" hidden="false" customHeight="false" outlineLevel="0" collapsed="false">
      <c r="A215" s="6"/>
      <c r="B215" s="10"/>
      <c r="C215" s="6"/>
      <c r="D215" s="14" t="str">
        <f aca="false">IF(C215="","",IFERROR(INDEX(Pacientes!$Q:$Q,MATCH(C215,Pacientes!$A:$A,0)),"ID no existe"))</f>
        <v/>
      </c>
      <c r="E215" s="15" t="str">
        <f aca="false">IF(B215="","",DATE(YEAR(B215),MONTH(B215),1))</f>
        <v/>
      </c>
      <c r="F215" s="9"/>
      <c r="G215" s="6"/>
      <c r="H215" s="6"/>
      <c r="I215" s="6"/>
    </row>
    <row r="216" customFormat="false" ht="15" hidden="false" customHeight="false" outlineLevel="0" collapsed="false">
      <c r="A216" s="6"/>
      <c r="B216" s="10"/>
      <c r="C216" s="6"/>
      <c r="D216" s="14" t="str">
        <f aca="false">IF(C216="","",IFERROR(INDEX(Pacientes!$Q:$Q,MATCH(C216,Pacientes!$A:$A,0)),"ID no existe"))</f>
        <v/>
      </c>
      <c r="E216" s="15" t="str">
        <f aca="false">IF(B216="","",DATE(YEAR(B216),MONTH(B216),1))</f>
        <v/>
      </c>
      <c r="F216" s="9"/>
      <c r="G216" s="6"/>
      <c r="H216" s="6"/>
      <c r="I216" s="6"/>
    </row>
    <row r="217" customFormat="false" ht="15" hidden="false" customHeight="false" outlineLevel="0" collapsed="false">
      <c r="A217" s="6"/>
      <c r="B217" s="10"/>
      <c r="C217" s="6"/>
      <c r="D217" s="14" t="str">
        <f aca="false">IF(C217="","",IFERROR(INDEX(Pacientes!$Q:$Q,MATCH(C217,Pacientes!$A:$A,0)),"ID no existe"))</f>
        <v/>
      </c>
      <c r="E217" s="15" t="str">
        <f aca="false">IF(B217="","",DATE(YEAR(B217),MONTH(B217),1))</f>
        <v/>
      </c>
      <c r="F217" s="9"/>
      <c r="G217" s="6"/>
      <c r="H217" s="6"/>
      <c r="I217" s="6"/>
    </row>
    <row r="218" customFormat="false" ht="15" hidden="false" customHeight="false" outlineLevel="0" collapsed="false">
      <c r="A218" s="6"/>
      <c r="B218" s="10"/>
      <c r="C218" s="6"/>
      <c r="D218" s="14" t="str">
        <f aca="false">IF(C218="","",IFERROR(INDEX(Pacientes!$Q:$Q,MATCH(C218,Pacientes!$A:$A,0)),"ID no existe"))</f>
        <v/>
      </c>
      <c r="E218" s="15" t="str">
        <f aca="false">IF(B218="","",DATE(YEAR(B218),MONTH(B218),1))</f>
        <v/>
      </c>
      <c r="F218" s="9"/>
      <c r="G218" s="6"/>
      <c r="H218" s="6"/>
      <c r="I218" s="6"/>
    </row>
    <row r="219" customFormat="false" ht="15" hidden="false" customHeight="false" outlineLevel="0" collapsed="false">
      <c r="A219" s="6"/>
      <c r="B219" s="10"/>
      <c r="C219" s="6"/>
      <c r="D219" s="14" t="str">
        <f aca="false">IF(C219="","",IFERROR(INDEX(Pacientes!$Q:$Q,MATCH(C219,Pacientes!$A:$A,0)),"ID no existe"))</f>
        <v/>
      </c>
      <c r="E219" s="15" t="str">
        <f aca="false">IF(B219="","",DATE(YEAR(B219),MONTH(B219),1))</f>
        <v/>
      </c>
      <c r="F219" s="9"/>
      <c r="G219" s="6"/>
      <c r="H219" s="6"/>
      <c r="I219" s="6"/>
    </row>
    <row r="220" customFormat="false" ht="15" hidden="false" customHeight="false" outlineLevel="0" collapsed="false">
      <c r="A220" s="6"/>
      <c r="B220" s="10"/>
      <c r="C220" s="6"/>
      <c r="D220" s="14" t="str">
        <f aca="false">IF(C220="","",IFERROR(INDEX(Pacientes!$Q:$Q,MATCH(C220,Pacientes!$A:$A,0)),"ID no existe"))</f>
        <v/>
      </c>
      <c r="E220" s="15" t="str">
        <f aca="false">IF(B220="","",DATE(YEAR(B220),MONTH(B220),1))</f>
        <v/>
      </c>
      <c r="F220" s="9"/>
      <c r="G220" s="6"/>
      <c r="H220" s="6"/>
      <c r="I220" s="6"/>
    </row>
    <row r="221" customFormat="false" ht="15" hidden="false" customHeight="false" outlineLevel="0" collapsed="false">
      <c r="A221" s="6"/>
      <c r="B221" s="10"/>
      <c r="C221" s="6"/>
      <c r="D221" s="14" t="str">
        <f aca="false">IF(C221="","",IFERROR(INDEX(Pacientes!$Q:$Q,MATCH(C221,Pacientes!$A:$A,0)),"ID no existe"))</f>
        <v/>
      </c>
      <c r="E221" s="15" t="str">
        <f aca="false">IF(B221="","",DATE(YEAR(B221),MONTH(B221),1))</f>
        <v/>
      </c>
      <c r="F221" s="9"/>
      <c r="G221" s="6"/>
      <c r="H221" s="6"/>
      <c r="I221" s="6"/>
    </row>
    <row r="222" customFormat="false" ht="15" hidden="false" customHeight="false" outlineLevel="0" collapsed="false">
      <c r="A222" s="6"/>
      <c r="B222" s="10"/>
      <c r="C222" s="6"/>
      <c r="D222" s="14" t="str">
        <f aca="false">IF(C222="","",IFERROR(INDEX(Pacientes!$Q:$Q,MATCH(C222,Pacientes!$A:$A,0)),"ID no existe"))</f>
        <v/>
      </c>
      <c r="E222" s="15" t="str">
        <f aca="false">IF(B222="","",DATE(YEAR(B222),MONTH(B222),1))</f>
        <v/>
      </c>
      <c r="F222" s="9"/>
      <c r="G222" s="6"/>
      <c r="H222" s="6"/>
      <c r="I222" s="6"/>
    </row>
    <row r="223" customFormat="false" ht="15" hidden="false" customHeight="false" outlineLevel="0" collapsed="false">
      <c r="A223" s="6"/>
      <c r="B223" s="10"/>
      <c r="C223" s="6"/>
      <c r="D223" s="14" t="str">
        <f aca="false">IF(C223="","",IFERROR(INDEX(Pacientes!$Q:$Q,MATCH(C223,Pacientes!$A:$A,0)),"ID no existe"))</f>
        <v/>
      </c>
      <c r="E223" s="15" t="str">
        <f aca="false">IF(B223="","",DATE(YEAR(B223),MONTH(B223),1))</f>
        <v/>
      </c>
      <c r="F223" s="9"/>
      <c r="G223" s="6"/>
      <c r="H223" s="6"/>
      <c r="I223" s="6"/>
    </row>
    <row r="224" customFormat="false" ht="15" hidden="false" customHeight="false" outlineLevel="0" collapsed="false">
      <c r="A224" s="6"/>
      <c r="B224" s="10"/>
      <c r="C224" s="6"/>
      <c r="D224" s="14" t="str">
        <f aca="false">IF(C224="","",IFERROR(INDEX(Pacientes!$Q:$Q,MATCH(C224,Pacientes!$A:$A,0)),"ID no existe"))</f>
        <v/>
      </c>
      <c r="E224" s="15" t="str">
        <f aca="false">IF(B224="","",DATE(YEAR(B224),MONTH(B224),1))</f>
        <v/>
      </c>
      <c r="F224" s="9"/>
      <c r="G224" s="6"/>
      <c r="H224" s="6"/>
      <c r="I224" s="6"/>
    </row>
    <row r="225" customFormat="false" ht="15" hidden="false" customHeight="false" outlineLevel="0" collapsed="false">
      <c r="A225" s="6"/>
      <c r="B225" s="10"/>
      <c r="C225" s="6"/>
      <c r="D225" s="14" t="str">
        <f aca="false">IF(C225="","",IFERROR(INDEX(Pacientes!$Q:$Q,MATCH(C225,Pacientes!$A:$A,0)),"ID no existe"))</f>
        <v/>
      </c>
      <c r="E225" s="15" t="str">
        <f aca="false">IF(B225="","",DATE(YEAR(B225),MONTH(B225),1))</f>
        <v/>
      </c>
      <c r="F225" s="9"/>
      <c r="G225" s="6"/>
      <c r="H225" s="6"/>
      <c r="I225" s="6"/>
    </row>
    <row r="226" customFormat="false" ht="15" hidden="false" customHeight="false" outlineLevel="0" collapsed="false">
      <c r="A226" s="6"/>
      <c r="B226" s="10"/>
      <c r="C226" s="6"/>
      <c r="D226" s="14" t="str">
        <f aca="false">IF(C226="","",IFERROR(INDEX(Pacientes!$Q:$Q,MATCH(C226,Pacientes!$A:$A,0)),"ID no existe"))</f>
        <v/>
      </c>
      <c r="E226" s="15" t="str">
        <f aca="false">IF(B226="","",DATE(YEAR(B226),MONTH(B226),1))</f>
        <v/>
      </c>
      <c r="F226" s="9"/>
      <c r="G226" s="6"/>
      <c r="H226" s="6"/>
      <c r="I226" s="6"/>
    </row>
    <row r="227" customFormat="false" ht="15" hidden="false" customHeight="false" outlineLevel="0" collapsed="false">
      <c r="A227" s="6"/>
      <c r="B227" s="10"/>
      <c r="C227" s="6"/>
      <c r="D227" s="14" t="str">
        <f aca="false">IF(C227="","",IFERROR(INDEX(Pacientes!$Q:$Q,MATCH(C227,Pacientes!$A:$A,0)),"ID no existe"))</f>
        <v/>
      </c>
      <c r="E227" s="15" t="str">
        <f aca="false">IF(B227="","",DATE(YEAR(B227),MONTH(B227),1))</f>
        <v/>
      </c>
      <c r="F227" s="9"/>
      <c r="G227" s="6"/>
      <c r="H227" s="6"/>
      <c r="I227" s="6"/>
    </row>
    <row r="228" customFormat="false" ht="15" hidden="false" customHeight="false" outlineLevel="0" collapsed="false">
      <c r="A228" s="6"/>
      <c r="B228" s="10"/>
      <c r="C228" s="6"/>
      <c r="D228" s="14" t="str">
        <f aca="false">IF(C228="","",IFERROR(INDEX(Pacientes!$Q:$Q,MATCH(C228,Pacientes!$A:$A,0)),"ID no existe"))</f>
        <v/>
      </c>
      <c r="E228" s="15" t="str">
        <f aca="false">IF(B228="","",DATE(YEAR(B228),MONTH(B228),1))</f>
        <v/>
      </c>
      <c r="F228" s="9"/>
      <c r="G228" s="6"/>
      <c r="H228" s="6"/>
      <c r="I228" s="6"/>
    </row>
    <row r="229" customFormat="false" ht="15" hidden="false" customHeight="false" outlineLevel="0" collapsed="false">
      <c r="A229" s="6"/>
      <c r="B229" s="10"/>
      <c r="C229" s="6"/>
      <c r="D229" s="14" t="str">
        <f aca="false">IF(C229="","",IFERROR(INDEX(Pacientes!$Q:$Q,MATCH(C229,Pacientes!$A:$A,0)),"ID no existe"))</f>
        <v/>
      </c>
      <c r="E229" s="15" t="str">
        <f aca="false">IF(B229="","",DATE(YEAR(B229),MONTH(B229),1))</f>
        <v/>
      </c>
      <c r="F229" s="9"/>
      <c r="G229" s="6"/>
      <c r="H229" s="6"/>
      <c r="I229" s="6"/>
    </row>
    <row r="230" customFormat="false" ht="15" hidden="false" customHeight="false" outlineLevel="0" collapsed="false">
      <c r="A230" s="6"/>
      <c r="B230" s="10"/>
      <c r="C230" s="6"/>
      <c r="D230" s="14" t="str">
        <f aca="false">IF(C230="","",IFERROR(INDEX(Pacientes!$Q:$Q,MATCH(C230,Pacientes!$A:$A,0)),"ID no existe"))</f>
        <v/>
      </c>
      <c r="E230" s="15" t="str">
        <f aca="false">IF(B230="","",DATE(YEAR(B230),MONTH(B230),1))</f>
        <v/>
      </c>
      <c r="F230" s="9"/>
      <c r="G230" s="6"/>
      <c r="H230" s="6"/>
      <c r="I230" s="6"/>
    </row>
    <row r="231" customFormat="false" ht="15" hidden="false" customHeight="false" outlineLevel="0" collapsed="false">
      <c r="A231" s="6"/>
      <c r="B231" s="10"/>
      <c r="C231" s="6"/>
      <c r="D231" s="14" t="str">
        <f aca="false">IF(C231="","",IFERROR(INDEX(Pacientes!$Q:$Q,MATCH(C231,Pacientes!$A:$A,0)),"ID no existe"))</f>
        <v/>
      </c>
      <c r="E231" s="15" t="str">
        <f aca="false">IF(B231="","",DATE(YEAR(B231),MONTH(B231),1))</f>
        <v/>
      </c>
      <c r="F231" s="9"/>
      <c r="G231" s="6"/>
      <c r="H231" s="6"/>
      <c r="I231" s="6"/>
    </row>
    <row r="232" customFormat="false" ht="15" hidden="false" customHeight="false" outlineLevel="0" collapsed="false">
      <c r="A232" s="6"/>
      <c r="B232" s="10"/>
      <c r="C232" s="6"/>
      <c r="D232" s="14" t="str">
        <f aca="false">IF(C232="","",IFERROR(INDEX(Pacientes!$Q:$Q,MATCH(C232,Pacientes!$A:$A,0)),"ID no existe"))</f>
        <v/>
      </c>
      <c r="E232" s="15" t="str">
        <f aca="false">IF(B232="","",DATE(YEAR(B232),MONTH(B232),1))</f>
        <v/>
      </c>
      <c r="F232" s="9"/>
      <c r="G232" s="6"/>
      <c r="H232" s="6"/>
      <c r="I232" s="6"/>
    </row>
    <row r="233" customFormat="false" ht="15" hidden="false" customHeight="false" outlineLevel="0" collapsed="false">
      <c r="A233" s="6"/>
      <c r="B233" s="10"/>
      <c r="C233" s="6"/>
      <c r="D233" s="14" t="str">
        <f aca="false">IF(C233="","",IFERROR(INDEX(Pacientes!$Q:$Q,MATCH(C233,Pacientes!$A:$A,0)),"ID no existe"))</f>
        <v/>
      </c>
      <c r="E233" s="15" t="str">
        <f aca="false">IF(B233="","",DATE(YEAR(B233),MONTH(B233),1))</f>
        <v/>
      </c>
      <c r="F233" s="9"/>
      <c r="G233" s="6"/>
      <c r="H233" s="6"/>
      <c r="I233" s="6"/>
    </row>
    <row r="234" customFormat="false" ht="15" hidden="false" customHeight="false" outlineLevel="0" collapsed="false">
      <c r="A234" s="6"/>
      <c r="B234" s="10"/>
      <c r="C234" s="6"/>
      <c r="D234" s="14" t="str">
        <f aca="false">IF(C234="","",IFERROR(INDEX(Pacientes!$Q:$Q,MATCH(C234,Pacientes!$A:$A,0)),"ID no existe"))</f>
        <v/>
      </c>
      <c r="E234" s="15" t="str">
        <f aca="false">IF(B234="","",DATE(YEAR(B234),MONTH(B234),1))</f>
        <v/>
      </c>
      <c r="F234" s="9"/>
      <c r="G234" s="6"/>
      <c r="H234" s="6"/>
      <c r="I234" s="6"/>
    </row>
    <row r="235" customFormat="false" ht="15" hidden="false" customHeight="false" outlineLevel="0" collapsed="false">
      <c r="A235" s="6"/>
      <c r="B235" s="10"/>
      <c r="C235" s="6"/>
      <c r="D235" s="14" t="str">
        <f aca="false">IF(C235="","",IFERROR(INDEX(Pacientes!$Q:$Q,MATCH(C235,Pacientes!$A:$A,0)),"ID no existe"))</f>
        <v/>
      </c>
      <c r="E235" s="15" t="str">
        <f aca="false">IF(B235="","",DATE(YEAR(B235),MONTH(B235),1))</f>
        <v/>
      </c>
      <c r="F235" s="9"/>
      <c r="G235" s="6"/>
      <c r="H235" s="6"/>
      <c r="I235" s="6"/>
    </row>
    <row r="236" customFormat="false" ht="15" hidden="false" customHeight="false" outlineLevel="0" collapsed="false">
      <c r="A236" s="6"/>
      <c r="B236" s="10"/>
      <c r="C236" s="6"/>
      <c r="D236" s="14" t="str">
        <f aca="false">IF(C236="","",IFERROR(INDEX(Pacientes!$Q:$Q,MATCH(C236,Pacientes!$A:$A,0)),"ID no existe"))</f>
        <v/>
      </c>
      <c r="E236" s="15" t="str">
        <f aca="false">IF(B236="","",DATE(YEAR(B236),MONTH(B236),1))</f>
        <v/>
      </c>
      <c r="F236" s="9"/>
      <c r="G236" s="6"/>
      <c r="H236" s="6"/>
      <c r="I236" s="6"/>
    </row>
    <row r="237" customFormat="false" ht="15" hidden="false" customHeight="false" outlineLevel="0" collapsed="false">
      <c r="A237" s="6"/>
      <c r="B237" s="10"/>
      <c r="C237" s="6"/>
      <c r="D237" s="14" t="str">
        <f aca="false">IF(C237="","",IFERROR(INDEX(Pacientes!$Q:$Q,MATCH(C237,Pacientes!$A:$A,0)),"ID no existe"))</f>
        <v/>
      </c>
      <c r="E237" s="15" t="str">
        <f aca="false">IF(B237="","",DATE(YEAR(B237),MONTH(B237),1))</f>
        <v/>
      </c>
      <c r="F237" s="9"/>
      <c r="G237" s="6"/>
      <c r="H237" s="6"/>
      <c r="I237" s="6"/>
    </row>
    <row r="238" customFormat="false" ht="15" hidden="false" customHeight="false" outlineLevel="0" collapsed="false">
      <c r="A238" s="6"/>
      <c r="B238" s="10"/>
      <c r="C238" s="6"/>
      <c r="D238" s="14" t="str">
        <f aca="false">IF(C238="","",IFERROR(INDEX(Pacientes!$Q:$Q,MATCH(C238,Pacientes!$A:$A,0)),"ID no existe"))</f>
        <v/>
      </c>
      <c r="E238" s="15" t="str">
        <f aca="false">IF(B238="","",DATE(YEAR(B238),MONTH(B238),1))</f>
        <v/>
      </c>
      <c r="F238" s="9"/>
      <c r="G238" s="6"/>
      <c r="H238" s="6"/>
      <c r="I238" s="6"/>
    </row>
    <row r="239" customFormat="false" ht="15" hidden="false" customHeight="false" outlineLevel="0" collapsed="false">
      <c r="A239" s="6"/>
      <c r="B239" s="10"/>
      <c r="C239" s="6"/>
      <c r="D239" s="14" t="str">
        <f aca="false">IF(C239="","",IFERROR(INDEX(Pacientes!$Q:$Q,MATCH(C239,Pacientes!$A:$A,0)),"ID no existe"))</f>
        <v/>
      </c>
      <c r="E239" s="15" t="str">
        <f aca="false">IF(B239="","",DATE(YEAR(B239),MONTH(B239),1))</f>
        <v/>
      </c>
      <c r="F239" s="9"/>
      <c r="G239" s="6"/>
      <c r="H239" s="6"/>
      <c r="I239" s="6"/>
    </row>
    <row r="240" customFormat="false" ht="15" hidden="false" customHeight="false" outlineLevel="0" collapsed="false">
      <c r="A240" s="6"/>
      <c r="B240" s="10"/>
      <c r="C240" s="6"/>
      <c r="D240" s="14" t="str">
        <f aca="false">IF(C240="","",IFERROR(INDEX(Pacientes!$Q:$Q,MATCH(C240,Pacientes!$A:$A,0)),"ID no existe"))</f>
        <v/>
      </c>
      <c r="E240" s="15" t="str">
        <f aca="false">IF(B240="","",DATE(YEAR(B240),MONTH(B240),1))</f>
        <v/>
      </c>
      <c r="F240" s="9"/>
      <c r="G240" s="6"/>
      <c r="H240" s="6"/>
      <c r="I240" s="6"/>
    </row>
    <row r="241" customFormat="false" ht="15" hidden="false" customHeight="false" outlineLevel="0" collapsed="false">
      <c r="A241" s="6"/>
      <c r="B241" s="10"/>
      <c r="C241" s="6"/>
      <c r="D241" s="14" t="str">
        <f aca="false">IF(C241="","",IFERROR(INDEX(Pacientes!$Q:$Q,MATCH(C241,Pacientes!$A:$A,0)),"ID no existe"))</f>
        <v/>
      </c>
      <c r="E241" s="15" t="str">
        <f aca="false">IF(B241="","",DATE(YEAR(B241),MONTH(B241),1))</f>
        <v/>
      </c>
      <c r="F241" s="9"/>
      <c r="G241" s="6"/>
      <c r="H241" s="6"/>
      <c r="I241" s="6"/>
    </row>
    <row r="242" customFormat="false" ht="15" hidden="false" customHeight="false" outlineLevel="0" collapsed="false">
      <c r="A242" s="6"/>
      <c r="B242" s="10"/>
      <c r="C242" s="6"/>
      <c r="D242" s="14" t="str">
        <f aca="false">IF(C242="","",IFERROR(INDEX(Pacientes!$Q:$Q,MATCH(C242,Pacientes!$A:$A,0)),"ID no existe"))</f>
        <v/>
      </c>
      <c r="E242" s="15" t="str">
        <f aca="false">IF(B242="","",DATE(YEAR(B242),MONTH(B242),1))</f>
        <v/>
      </c>
      <c r="F242" s="9"/>
      <c r="G242" s="6"/>
      <c r="H242" s="6"/>
      <c r="I242" s="6"/>
    </row>
    <row r="243" customFormat="false" ht="15" hidden="false" customHeight="false" outlineLevel="0" collapsed="false">
      <c r="A243" s="6"/>
      <c r="B243" s="10"/>
      <c r="C243" s="6"/>
      <c r="D243" s="14" t="str">
        <f aca="false">IF(C243="","",IFERROR(INDEX(Pacientes!$Q:$Q,MATCH(C243,Pacientes!$A:$A,0)),"ID no existe"))</f>
        <v/>
      </c>
      <c r="E243" s="15" t="str">
        <f aca="false">IF(B243="","",DATE(YEAR(B243),MONTH(B243),1))</f>
        <v/>
      </c>
      <c r="F243" s="9"/>
      <c r="G243" s="6"/>
      <c r="H243" s="6"/>
      <c r="I243" s="6"/>
    </row>
    <row r="244" customFormat="false" ht="15" hidden="false" customHeight="false" outlineLevel="0" collapsed="false">
      <c r="A244" s="6"/>
      <c r="B244" s="10"/>
      <c r="C244" s="6"/>
      <c r="D244" s="14" t="str">
        <f aca="false">IF(C244="","",IFERROR(INDEX(Pacientes!$Q:$Q,MATCH(C244,Pacientes!$A:$A,0)),"ID no existe"))</f>
        <v/>
      </c>
      <c r="E244" s="15" t="str">
        <f aca="false">IF(B244="","",DATE(YEAR(B244),MONTH(B244),1))</f>
        <v/>
      </c>
      <c r="F244" s="9"/>
      <c r="G244" s="6"/>
      <c r="H244" s="6"/>
      <c r="I244" s="6"/>
    </row>
    <row r="245" customFormat="false" ht="15" hidden="false" customHeight="false" outlineLevel="0" collapsed="false">
      <c r="A245" s="6"/>
      <c r="B245" s="10"/>
      <c r="C245" s="6"/>
      <c r="D245" s="14" t="str">
        <f aca="false">IF(C245="","",IFERROR(INDEX(Pacientes!$Q:$Q,MATCH(C245,Pacientes!$A:$A,0)),"ID no existe"))</f>
        <v/>
      </c>
      <c r="E245" s="15" t="str">
        <f aca="false">IF(B245="","",DATE(YEAR(B245),MONTH(B245),1))</f>
        <v/>
      </c>
      <c r="F245" s="9"/>
      <c r="G245" s="6"/>
      <c r="H245" s="6"/>
      <c r="I245" s="6"/>
    </row>
    <row r="246" customFormat="false" ht="15" hidden="false" customHeight="false" outlineLevel="0" collapsed="false">
      <c r="A246" s="6"/>
      <c r="B246" s="10"/>
      <c r="C246" s="6"/>
      <c r="D246" s="14" t="str">
        <f aca="false">IF(C246="","",IFERROR(INDEX(Pacientes!$Q:$Q,MATCH(C246,Pacientes!$A:$A,0)),"ID no existe"))</f>
        <v/>
      </c>
      <c r="E246" s="15" t="str">
        <f aca="false">IF(B246="","",DATE(YEAR(B246),MONTH(B246),1))</f>
        <v/>
      </c>
      <c r="F246" s="9"/>
      <c r="G246" s="6"/>
      <c r="H246" s="6"/>
      <c r="I246" s="6"/>
    </row>
    <row r="247" customFormat="false" ht="15" hidden="false" customHeight="false" outlineLevel="0" collapsed="false">
      <c r="A247" s="6"/>
      <c r="B247" s="10"/>
      <c r="C247" s="6"/>
      <c r="D247" s="14" t="str">
        <f aca="false">IF(C247="","",IFERROR(INDEX(Pacientes!$Q:$Q,MATCH(C247,Pacientes!$A:$A,0)),"ID no existe"))</f>
        <v/>
      </c>
      <c r="E247" s="15" t="str">
        <f aca="false">IF(B247="","",DATE(YEAR(B247),MONTH(B247),1))</f>
        <v/>
      </c>
      <c r="F247" s="9"/>
      <c r="G247" s="6"/>
      <c r="H247" s="6"/>
      <c r="I247" s="6"/>
    </row>
    <row r="248" customFormat="false" ht="15" hidden="false" customHeight="false" outlineLevel="0" collapsed="false">
      <c r="A248" s="6"/>
      <c r="B248" s="10"/>
      <c r="C248" s="6"/>
      <c r="D248" s="14" t="str">
        <f aca="false">IF(C248="","",IFERROR(INDEX(Pacientes!$Q:$Q,MATCH(C248,Pacientes!$A:$A,0)),"ID no existe"))</f>
        <v/>
      </c>
      <c r="E248" s="15" t="str">
        <f aca="false">IF(B248="","",DATE(YEAR(B248),MONTH(B248),1))</f>
        <v/>
      </c>
      <c r="F248" s="9"/>
      <c r="G248" s="6"/>
      <c r="H248" s="6"/>
      <c r="I248" s="6"/>
    </row>
    <row r="249" customFormat="false" ht="15" hidden="false" customHeight="false" outlineLevel="0" collapsed="false">
      <c r="A249" s="6"/>
      <c r="B249" s="10"/>
      <c r="C249" s="6"/>
      <c r="D249" s="14" t="str">
        <f aca="false">IF(C249="","",IFERROR(INDEX(Pacientes!$Q:$Q,MATCH(C249,Pacientes!$A:$A,0)),"ID no existe"))</f>
        <v/>
      </c>
      <c r="E249" s="15" t="str">
        <f aca="false">IF(B249="","",DATE(YEAR(B249),MONTH(B249),1))</f>
        <v/>
      </c>
      <c r="F249" s="9"/>
      <c r="G249" s="6"/>
      <c r="H249" s="6"/>
      <c r="I249" s="6"/>
    </row>
    <row r="250" customFormat="false" ht="15" hidden="false" customHeight="false" outlineLevel="0" collapsed="false">
      <c r="A250" s="6"/>
      <c r="B250" s="10"/>
      <c r="C250" s="6"/>
      <c r="D250" s="14" t="str">
        <f aca="false">IF(C250="","",IFERROR(INDEX(Pacientes!$Q:$Q,MATCH(C250,Pacientes!$A:$A,0)),"ID no existe"))</f>
        <v/>
      </c>
      <c r="E250" s="15" t="str">
        <f aca="false">IF(B250="","",DATE(YEAR(B250),MONTH(B250),1))</f>
        <v/>
      </c>
      <c r="F250" s="9"/>
      <c r="G250" s="6"/>
      <c r="H250" s="6"/>
      <c r="I250" s="6"/>
    </row>
    <row r="251" customFormat="false" ht="15" hidden="false" customHeight="false" outlineLevel="0" collapsed="false">
      <c r="A251" s="6"/>
      <c r="B251" s="10"/>
      <c r="C251" s="6"/>
      <c r="D251" s="14" t="str">
        <f aca="false">IF(C251="","",IFERROR(INDEX(Pacientes!$Q:$Q,MATCH(C251,Pacientes!$A:$A,0)),"ID no existe"))</f>
        <v/>
      </c>
      <c r="E251" s="15" t="str">
        <f aca="false">IF(B251="","",DATE(YEAR(B251),MONTH(B251),1))</f>
        <v/>
      </c>
      <c r="F251" s="9"/>
      <c r="G251" s="6"/>
      <c r="H251" s="6"/>
      <c r="I251" s="6"/>
    </row>
    <row r="252" customFormat="false" ht="15" hidden="false" customHeight="false" outlineLevel="0" collapsed="false">
      <c r="A252" s="6"/>
      <c r="B252" s="10"/>
      <c r="C252" s="6"/>
      <c r="D252" s="14" t="str">
        <f aca="false">IF(C252="","",IFERROR(INDEX(Pacientes!$Q:$Q,MATCH(C252,Pacientes!$A:$A,0)),"ID no existe"))</f>
        <v/>
      </c>
      <c r="E252" s="15" t="str">
        <f aca="false">IF(B252="","",DATE(YEAR(B252),MONTH(B252),1))</f>
        <v/>
      </c>
      <c r="F252" s="9"/>
      <c r="G252" s="6"/>
      <c r="H252" s="6"/>
      <c r="I252" s="6"/>
    </row>
    <row r="253" customFormat="false" ht="15" hidden="false" customHeight="false" outlineLevel="0" collapsed="false">
      <c r="A253" s="6"/>
      <c r="B253" s="10"/>
      <c r="C253" s="6"/>
      <c r="D253" s="14" t="str">
        <f aca="false">IF(C253="","",IFERROR(INDEX(Pacientes!$Q:$Q,MATCH(C253,Pacientes!$A:$A,0)),"ID no existe"))</f>
        <v/>
      </c>
      <c r="E253" s="15" t="str">
        <f aca="false">IF(B253="","",DATE(YEAR(B253),MONTH(B253),1))</f>
        <v/>
      </c>
      <c r="F253" s="9"/>
      <c r="G253" s="6"/>
      <c r="H253" s="6"/>
      <c r="I253" s="6"/>
    </row>
    <row r="254" customFormat="false" ht="15" hidden="false" customHeight="false" outlineLevel="0" collapsed="false">
      <c r="A254" s="6"/>
      <c r="B254" s="10"/>
      <c r="C254" s="6"/>
      <c r="D254" s="14" t="str">
        <f aca="false">IF(C254="","",IFERROR(INDEX(Pacientes!$Q:$Q,MATCH(C254,Pacientes!$A:$A,0)),"ID no existe"))</f>
        <v/>
      </c>
      <c r="E254" s="15" t="str">
        <f aca="false">IF(B254="","",DATE(YEAR(B254),MONTH(B254),1))</f>
        <v/>
      </c>
      <c r="F254" s="9"/>
      <c r="G254" s="6"/>
      <c r="H254" s="6"/>
      <c r="I254" s="6"/>
    </row>
    <row r="255" customFormat="false" ht="15" hidden="false" customHeight="false" outlineLevel="0" collapsed="false">
      <c r="A255" s="6"/>
      <c r="B255" s="10"/>
      <c r="C255" s="6"/>
      <c r="D255" s="14" t="str">
        <f aca="false">IF(C255="","",IFERROR(INDEX(Pacientes!$Q:$Q,MATCH(C255,Pacientes!$A:$A,0)),"ID no existe"))</f>
        <v/>
      </c>
      <c r="E255" s="15" t="str">
        <f aca="false">IF(B255="","",DATE(YEAR(B255),MONTH(B255),1))</f>
        <v/>
      </c>
      <c r="F255" s="9"/>
      <c r="G255" s="6"/>
      <c r="H255" s="6"/>
      <c r="I255" s="6"/>
    </row>
    <row r="256" customFormat="false" ht="15" hidden="false" customHeight="false" outlineLevel="0" collapsed="false">
      <c r="A256" s="6"/>
      <c r="B256" s="10"/>
      <c r="C256" s="6"/>
      <c r="D256" s="14" t="str">
        <f aca="false">IF(C256="","",IFERROR(INDEX(Pacientes!$Q:$Q,MATCH(C256,Pacientes!$A:$A,0)),"ID no existe"))</f>
        <v/>
      </c>
      <c r="E256" s="15" t="str">
        <f aca="false">IF(B256="","",DATE(YEAR(B256),MONTH(B256),1))</f>
        <v/>
      </c>
      <c r="F256" s="9"/>
      <c r="G256" s="6"/>
      <c r="H256" s="6"/>
      <c r="I256" s="6"/>
    </row>
    <row r="257" customFormat="false" ht="15" hidden="false" customHeight="false" outlineLevel="0" collapsed="false">
      <c r="A257" s="6"/>
      <c r="B257" s="10"/>
      <c r="C257" s="6"/>
      <c r="D257" s="14" t="str">
        <f aca="false">IF(C257="","",IFERROR(INDEX(Pacientes!$Q:$Q,MATCH(C257,Pacientes!$A:$A,0)),"ID no existe"))</f>
        <v/>
      </c>
      <c r="E257" s="15" t="str">
        <f aca="false">IF(B257="","",DATE(YEAR(B257),MONTH(B257),1))</f>
        <v/>
      </c>
      <c r="F257" s="9"/>
      <c r="G257" s="6"/>
      <c r="H257" s="6"/>
      <c r="I257" s="6"/>
    </row>
    <row r="258" customFormat="false" ht="15" hidden="false" customHeight="false" outlineLevel="0" collapsed="false">
      <c r="A258" s="6"/>
      <c r="B258" s="10"/>
      <c r="C258" s="6"/>
      <c r="D258" s="14" t="str">
        <f aca="false">IF(C258="","",IFERROR(INDEX(Pacientes!$Q:$Q,MATCH(C258,Pacientes!$A:$A,0)),"ID no existe"))</f>
        <v/>
      </c>
      <c r="E258" s="15" t="str">
        <f aca="false">IF(B258="","",DATE(YEAR(B258),MONTH(B258),1))</f>
        <v/>
      </c>
      <c r="F258" s="9"/>
      <c r="G258" s="6"/>
      <c r="H258" s="6"/>
      <c r="I258" s="6"/>
    </row>
    <row r="259" customFormat="false" ht="15" hidden="false" customHeight="false" outlineLevel="0" collapsed="false">
      <c r="A259" s="6"/>
      <c r="B259" s="10"/>
      <c r="C259" s="6"/>
      <c r="D259" s="14" t="str">
        <f aca="false">IF(C259="","",IFERROR(INDEX(Pacientes!$Q:$Q,MATCH(C259,Pacientes!$A:$A,0)),"ID no existe"))</f>
        <v/>
      </c>
      <c r="E259" s="15" t="str">
        <f aca="false">IF(B259="","",DATE(YEAR(B259),MONTH(B259),1))</f>
        <v/>
      </c>
      <c r="F259" s="9"/>
      <c r="G259" s="6"/>
      <c r="H259" s="6"/>
      <c r="I259" s="6"/>
    </row>
    <row r="260" customFormat="false" ht="15" hidden="false" customHeight="false" outlineLevel="0" collapsed="false">
      <c r="A260" s="6"/>
      <c r="B260" s="10"/>
      <c r="C260" s="6"/>
      <c r="D260" s="14" t="str">
        <f aca="false">IF(C260="","",IFERROR(INDEX(Pacientes!$Q:$Q,MATCH(C260,Pacientes!$A:$A,0)),"ID no existe"))</f>
        <v/>
      </c>
      <c r="E260" s="15" t="str">
        <f aca="false">IF(B260="","",DATE(YEAR(B260),MONTH(B260),1))</f>
        <v/>
      </c>
      <c r="F260" s="9"/>
      <c r="G260" s="6"/>
      <c r="H260" s="6"/>
      <c r="I260" s="6"/>
    </row>
    <row r="261" customFormat="false" ht="15" hidden="false" customHeight="false" outlineLevel="0" collapsed="false">
      <c r="A261" s="6"/>
      <c r="B261" s="10"/>
      <c r="C261" s="6"/>
      <c r="D261" s="14" t="str">
        <f aca="false">IF(C261="","",IFERROR(INDEX(Pacientes!$Q:$Q,MATCH(C261,Pacientes!$A:$A,0)),"ID no existe"))</f>
        <v/>
      </c>
      <c r="E261" s="15" t="str">
        <f aca="false">IF(B261="","",DATE(YEAR(B261),MONTH(B261),1))</f>
        <v/>
      </c>
      <c r="F261" s="9"/>
      <c r="G261" s="6"/>
      <c r="H261" s="6"/>
      <c r="I261" s="6"/>
    </row>
    <row r="262" customFormat="false" ht="15" hidden="false" customHeight="false" outlineLevel="0" collapsed="false">
      <c r="A262" s="6"/>
      <c r="B262" s="10"/>
      <c r="C262" s="6"/>
      <c r="D262" s="14" t="str">
        <f aca="false">IF(C262="","",IFERROR(INDEX(Pacientes!$Q:$Q,MATCH(C262,Pacientes!$A:$A,0)),"ID no existe"))</f>
        <v/>
      </c>
      <c r="E262" s="15" t="str">
        <f aca="false">IF(B262="","",DATE(YEAR(B262),MONTH(B262),1))</f>
        <v/>
      </c>
      <c r="F262" s="9"/>
      <c r="G262" s="6"/>
      <c r="H262" s="6"/>
      <c r="I262" s="6"/>
    </row>
    <row r="263" customFormat="false" ht="15" hidden="false" customHeight="false" outlineLevel="0" collapsed="false">
      <c r="A263" s="6"/>
      <c r="B263" s="10"/>
      <c r="C263" s="6"/>
      <c r="D263" s="14" t="str">
        <f aca="false">IF(C263="","",IFERROR(INDEX(Pacientes!$Q:$Q,MATCH(C263,Pacientes!$A:$A,0)),"ID no existe"))</f>
        <v/>
      </c>
      <c r="E263" s="15" t="str">
        <f aca="false">IF(B263="","",DATE(YEAR(B263),MONTH(B263),1))</f>
        <v/>
      </c>
      <c r="F263" s="9"/>
      <c r="G263" s="6"/>
      <c r="H263" s="6"/>
      <c r="I263" s="6"/>
    </row>
    <row r="264" customFormat="false" ht="15" hidden="false" customHeight="false" outlineLevel="0" collapsed="false">
      <c r="A264" s="6"/>
      <c r="B264" s="10"/>
      <c r="C264" s="6"/>
      <c r="D264" s="14" t="str">
        <f aca="false">IF(C264="","",IFERROR(INDEX(Pacientes!$Q:$Q,MATCH(C264,Pacientes!$A:$A,0)),"ID no existe"))</f>
        <v/>
      </c>
      <c r="E264" s="15" t="str">
        <f aca="false">IF(B264="","",DATE(YEAR(B264),MONTH(B264),1))</f>
        <v/>
      </c>
      <c r="F264" s="9"/>
      <c r="G264" s="6"/>
      <c r="H264" s="6"/>
      <c r="I264" s="6"/>
    </row>
    <row r="265" customFormat="false" ht="15" hidden="false" customHeight="false" outlineLevel="0" collapsed="false">
      <c r="A265" s="6"/>
      <c r="B265" s="10"/>
      <c r="C265" s="6"/>
      <c r="D265" s="14" t="str">
        <f aca="false">IF(C265="","",IFERROR(INDEX(Pacientes!$Q:$Q,MATCH(C265,Pacientes!$A:$A,0)),"ID no existe"))</f>
        <v/>
      </c>
      <c r="E265" s="15" t="str">
        <f aca="false">IF(B265="","",DATE(YEAR(B265),MONTH(B265),1))</f>
        <v/>
      </c>
      <c r="F265" s="9"/>
      <c r="G265" s="6"/>
      <c r="H265" s="6"/>
      <c r="I265" s="6"/>
    </row>
    <row r="266" customFormat="false" ht="15" hidden="false" customHeight="false" outlineLevel="0" collapsed="false">
      <c r="A266" s="6"/>
      <c r="B266" s="10"/>
      <c r="C266" s="6"/>
      <c r="D266" s="14" t="str">
        <f aca="false">IF(C266="","",IFERROR(INDEX(Pacientes!$Q:$Q,MATCH(C266,Pacientes!$A:$A,0)),"ID no existe"))</f>
        <v/>
      </c>
      <c r="E266" s="15" t="str">
        <f aca="false">IF(B266="","",DATE(YEAR(B266),MONTH(B266),1))</f>
        <v/>
      </c>
      <c r="F266" s="9"/>
      <c r="G266" s="6"/>
      <c r="H266" s="6"/>
      <c r="I266" s="6"/>
    </row>
    <row r="267" customFormat="false" ht="15" hidden="false" customHeight="false" outlineLevel="0" collapsed="false">
      <c r="A267" s="6"/>
      <c r="B267" s="10"/>
      <c r="C267" s="6"/>
      <c r="D267" s="14" t="str">
        <f aca="false">IF(C267="","",IFERROR(INDEX(Pacientes!$Q:$Q,MATCH(C267,Pacientes!$A:$A,0)),"ID no existe"))</f>
        <v/>
      </c>
      <c r="E267" s="15" t="str">
        <f aca="false">IF(B267="","",DATE(YEAR(B267),MONTH(B267),1))</f>
        <v/>
      </c>
      <c r="F267" s="9"/>
      <c r="G267" s="6"/>
      <c r="H267" s="6"/>
      <c r="I267" s="6"/>
    </row>
    <row r="268" customFormat="false" ht="15" hidden="false" customHeight="false" outlineLevel="0" collapsed="false">
      <c r="A268" s="6"/>
      <c r="B268" s="10"/>
      <c r="C268" s="6"/>
      <c r="D268" s="14" t="str">
        <f aca="false">IF(C268="","",IFERROR(INDEX(Pacientes!$Q:$Q,MATCH(C268,Pacientes!$A:$A,0)),"ID no existe"))</f>
        <v/>
      </c>
      <c r="E268" s="15" t="str">
        <f aca="false">IF(B268="","",DATE(YEAR(B268),MONTH(B268),1))</f>
        <v/>
      </c>
      <c r="F268" s="9"/>
      <c r="G268" s="6"/>
      <c r="H268" s="6"/>
      <c r="I268" s="6"/>
    </row>
    <row r="269" customFormat="false" ht="15" hidden="false" customHeight="false" outlineLevel="0" collapsed="false">
      <c r="A269" s="6"/>
      <c r="B269" s="10"/>
      <c r="C269" s="6"/>
      <c r="D269" s="14" t="str">
        <f aca="false">IF(C269="","",IFERROR(INDEX(Pacientes!$Q:$Q,MATCH(C269,Pacientes!$A:$A,0)),"ID no existe"))</f>
        <v/>
      </c>
      <c r="E269" s="15" t="str">
        <f aca="false">IF(B269="","",DATE(YEAR(B269),MONTH(B269),1))</f>
        <v/>
      </c>
      <c r="F269" s="9"/>
      <c r="G269" s="6"/>
      <c r="H269" s="6"/>
      <c r="I269" s="6"/>
    </row>
    <row r="270" customFormat="false" ht="15" hidden="false" customHeight="false" outlineLevel="0" collapsed="false">
      <c r="A270" s="6"/>
      <c r="B270" s="10"/>
      <c r="C270" s="6"/>
      <c r="D270" s="14" t="str">
        <f aca="false">IF(C270="","",IFERROR(INDEX(Pacientes!$Q:$Q,MATCH(C270,Pacientes!$A:$A,0)),"ID no existe"))</f>
        <v/>
      </c>
      <c r="E270" s="15" t="str">
        <f aca="false">IF(B270="","",DATE(YEAR(B270),MONTH(B270),1))</f>
        <v/>
      </c>
      <c r="F270" s="9"/>
      <c r="G270" s="6"/>
      <c r="H270" s="6"/>
      <c r="I270" s="6"/>
    </row>
    <row r="271" customFormat="false" ht="15" hidden="false" customHeight="false" outlineLevel="0" collapsed="false">
      <c r="A271" s="6"/>
      <c r="B271" s="10"/>
      <c r="C271" s="6"/>
      <c r="D271" s="14" t="str">
        <f aca="false">IF(C271="","",IFERROR(INDEX(Pacientes!$Q:$Q,MATCH(C271,Pacientes!$A:$A,0)),"ID no existe"))</f>
        <v/>
      </c>
      <c r="E271" s="15" t="str">
        <f aca="false">IF(B271="","",DATE(YEAR(B271),MONTH(B271),1))</f>
        <v/>
      </c>
      <c r="F271" s="9"/>
      <c r="G271" s="6"/>
      <c r="H271" s="6"/>
      <c r="I271" s="6"/>
    </row>
    <row r="272" customFormat="false" ht="15" hidden="false" customHeight="false" outlineLevel="0" collapsed="false">
      <c r="A272" s="6"/>
      <c r="B272" s="10"/>
      <c r="C272" s="6"/>
      <c r="D272" s="14" t="str">
        <f aca="false">IF(C272="","",IFERROR(INDEX(Pacientes!$Q:$Q,MATCH(C272,Pacientes!$A:$A,0)),"ID no existe"))</f>
        <v/>
      </c>
      <c r="E272" s="15" t="str">
        <f aca="false">IF(B272="","",DATE(YEAR(B272),MONTH(B272),1))</f>
        <v/>
      </c>
      <c r="F272" s="9"/>
      <c r="G272" s="6"/>
      <c r="H272" s="6"/>
      <c r="I272" s="6"/>
    </row>
    <row r="273" customFormat="false" ht="15" hidden="false" customHeight="false" outlineLevel="0" collapsed="false">
      <c r="A273" s="6"/>
      <c r="B273" s="10"/>
      <c r="C273" s="6"/>
      <c r="D273" s="14" t="str">
        <f aca="false">IF(C273="","",IFERROR(INDEX(Pacientes!$Q:$Q,MATCH(C273,Pacientes!$A:$A,0)),"ID no existe"))</f>
        <v/>
      </c>
      <c r="E273" s="15" t="str">
        <f aca="false">IF(B273="","",DATE(YEAR(B273),MONTH(B273),1))</f>
        <v/>
      </c>
      <c r="F273" s="9"/>
      <c r="G273" s="6"/>
      <c r="H273" s="6"/>
      <c r="I273" s="6"/>
    </row>
    <row r="274" customFormat="false" ht="15" hidden="false" customHeight="false" outlineLevel="0" collapsed="false">
      <c r="A274" s="6"/>
      <c r="B274" s="10"/>
      <c r="C274" s="6"/>
      <c r="D274" s="14" t="str">
        <f aca="false">IF(C274="","",IFERROR(INDEX(Pacientes!$Q:$Q,MATCH(C274,Pacientes!$A:$A,0)),"ID no existe"))</f>
        <v/>
      </c>
      <c r="E274" s="15" t="str">
        <f aca="false">IF(B274="","",DATE(YEAR(B274),MONTH(B274),1))</f>
        <v/>
      </c>
      <c r="F274" s="9"/>
      <c r="G274" s="6"/>
      <c r="H274" s="6"/>
      <c r="I274" s="6"/>
    </row>
    <row r="275" customFormat="false" ht="15" hidden="false" customHeight="false" outlineLevel="0" collapsed="false">
      <c r="A275" s="6"/>
      <c r="B275" s="10"/>
      <c r="C275" s="6"/>
      <c r="D275" s="14" t="str">
        <f aca="false">IF(C275="","",IFERROR(INDEX(Pacientes!$Q:$Q,MATCH(C275,Pacientes!$A:$A,0)),"ID no existe"))</f>
        <v/>
      </c>
      <c r="E275" s="15" t="str">
        <f aca="false">IF(B275="","",DATE(YEAR(B275),MONTH(B275),1))</f>
        <v/>
      </c>
      <c r="F275" s="9"/>
      <c r="G275" s="6"/>
      <c r="H275" s="6"/>
      <c r="I275" s="6"/>
    </row>
    <row r="276" customFormat="false" ht="15" hidden="false" customHeight="false" outlineLevel="0" collapsed="false">
      <c r="A276" s="6"/>
      <c r="B276" s="10"/>
      <c r="C276" s="6"/>
      <c r="D276" s="14" t="str">
        <f aca="false">IF(C276="","",IFERROR(INDEX(Pacientes!$Q:$Q,MATCH(C276,Pacientes!$A:$A,0)),"ID no existe"))</f>
        <v/>
      </c>
      <c r="E276" s="15" t="str">
        <f aca="false">IF(B276="","",DATE(YEAR(B276),MONTH(B276),1))</f>
        <v/>
      </c>
      <c r="F276" s="9"/>
      <c r="G276" s="6"/>
      <c r="H276" s="6"/>
      <c r="I276" s="6"/>
    </row>
    <row r="277" customFormat="false" ht="15" hidden="false" customHeight="false" outlineLevel="0" collapsed="false">
      <c r="A277" s="6"/>
      <c r="B277" s="10"/>
      <c r="C277" s="6"/>
      <c r="D277" s="14" t="str">
        <f aca="false">IF(C277="","",IFERROR(INDEX(Pacientes!$Q:$Q,MATCH(C277,Pacientes!$A:$A,0)),"ID no existe"))</f>
        <v/>
      </c>
      <c r="E277" s="15" t="str">
        <f aca="false">IF(B277="","",DATE(YEAR(B277),MONTH(B277),1))</f>
        <v/>
      </c>
      <c r="F277" s="9"/>
      <c r="G277" s="6"/>
      <c r="H277" s="6"/>
      <c r="I277" s="6"/>
    </row>
    <row r="278" customFormat="false" ht="15" hidden="false" customHeight="false" outlineLevel="0" collapsed="false">
      <c r="A278" s="6"/>
      <c r="B278" s="10"/>
      <c r="C278" s="6"/>
      <c r="D278" s="14" t="str">
        <f aca="false">IF(C278="","",IFERROR(INDEX(Pacientes!$Q:$Q,MATCH(C278,Pacientes!$A:$A,0)),"ID no existe"))</f>
        <v/>
      </c>
      <c r="E278" s="15" t="str">
        <f aca="false">IF(B278="","",DATE(YEAR(B278),MONTH(B278),1))</f>
        <v/>
      </c>
      <c r="F278" s="9"/>
      <c r="G278" s="6"/>
      <c r="H278" s="6"/>
      <c r="I278" s="6"/>
    </row>
    <row r="279" customFormat="false" ht="15" hidden="false" customHeight="false" outlineLevel="0" collapsed="false">
      <c r="A279" s="6"/>
      <c r="B279" s="10"/>
      <c r="C279" s="6"/>
      <c r="D279" s="14" t="str">
        <f aca="false">IF(C279="","",IFERROR(INDEX(Pacientes!$Q:$Q,MATCH(C279,Pacientes!$A:$A,0)),"ID no existe"))</f>
        <v/>
      </c>
      <c r="E279" s="15" t="str">
        <f aca="false">IF(B279="","",DATE(YEAR(B279),MONTH(B279),1))</f>
        <v/>
      </c>
      <c r="F279" s="9"/>
      <c r="G279" s="6"/>
      <c r="H279" s="6"/>
      <c r="I279" s="6"/>
    </row>
    <row r="280" customFormat="false" ht="15" hidden="false" customHeight="false" outlineLevel="0" collapsed="false">
      <c r="A280" s="6"/>
      <c r="B280" s="10"/>
      <c r="C280" s="6"/>
      <c r="D280" s="14" t="str">
        <f aca="false">IF(C280="","",IFERROR(INDEX(Pacientes!$Q:$Q,MATCH(C280,Pacientes!$A:$A,0)),"ID no existe"))</f>
        <v/>
      </c>
      <c r="E280" s="15" t="str">
        <f aca="false">IF(B280="","",DATE(YEAR(B280),MONTH(B280),1))</f>
        <v/>
      </c>
      <c r="F280" s="9"/>
      <c r="G280" s="6"/>
      <c r="H280" s="6"/>
      <c r="I280" s="6"/>
    </row>
    <row r="281" customFormat="false" ht="15" hidden="false" customHeight="false" outlineLevel="0" collapsed="false">
      <c r="A281" s="6"/>
      <c r="B281" s="10"/>
      <c r="C281" s="6"/>
      <c r="D281" s="14" t="str">
        <f aca="false">IF(C281="","",IFERROR(INDEX(Pacientes!$Q:$Q,MATCH(C281,Pacientes!$A:$A,0)),"ID no existe"))</f>
        <v/>
      </c>
      <c r="E281" s="15" t="str">
        <f aca="false">IF(B281="","",DATE(YEAR(B281),MONTH(B281),1))</f>
        <v/>
      </c>
      <c r="F281" s="9"/>
      <c r="G281" s="6"/>
      <c r="H281" s="6"/>
      <c r="I281" s="6"/>
    </row>
    <row r="282" customFormat="false" ht="15" hidden="false" customHeight="false" outlineLevel="0" collapsed="false">
      <c r="A282" s="6"/>
      <c r="B282" s="10"/>
      <c r="C282" s="6"/>
      <c r="D282" s="14" t="str">
        <f aca="false">IF(C282="","",IFERROR(INDEX(Pacientes!$Q:$Q,MATCH(C282,Pacientes!$A:$A,0)),"ID no existe"))</f>
        <v/>
      </c>
      <c r="E282" s="15" t="str">
        <f aca="false">IF(B282="","",DATE(YEAR(B282),MONTH(B282),1))</f>
        <v/>
      </c>
      <c r="F282" s="9"/>
      <c r="G282" s="6"/>
      <c r="H282" s="6"/>
      <c r="I282" s="6"/>
    </row>
    <row r="283" customFormat="false" ht="15" hidden="false" customHeight="false" outlineLevel="0" collapsed="false">
      <c r="A283" s="6"/>
      <c r="B283" s="10"/>
      <c r="C283" s="6"/>
      <c r="D283" s="14" t="str">
        <f aca="false">IF(C283="","",IFERROR(INDEX(Pacientes!$Q:$Q,MATCH(C283,Pacientes!$A:$A,0)),"ID no existe"))</f>
        <v/>
      </c>
      <c r="E283" s="15" t="str">
        <f aca="false">IF(B283="","",DATE(YEAR(B283),MONTH(B283),1))</f>
        <v/>
      </c>
      <c r="F283" s="9"/>
      <c r="G283" s="6"/>
      <c r="H283" s="6"/>
      <c r="I283" s="6"/>
    </row>
    <row r="284" customFormat="false" ht="15" hidden="false" customHeight="false" outlineLevel="0" collapsed="false">
      <c r="A284" s="6"/>
      <c r="B284" s="10"/>
      <c r="C284" s="6"/>
      <c r="D284" s="14" t="str">
        <f aca="false">IF(C284="","",IFERROR(INDEX(Pacientes!$Q:$Q,MATCH(C284,Pacientes!$A:$A,0)),"ID no existe"))</f>
        <v/>
      </c>
      <c r="E284" s="15" t="str">
        <f aca="false">IF(B284="","",DATE(YEAR(B284),MONTH(B284),1))</f>
        <v/>
      </c>
      <c r="F284" s="9"/>
      <c r="G284" s="6"/>
      <c r="H284" s="6"/>
      <c r="I284" s="6"/>
    </row>
    <row r="285" customFormat="false" ht="15" hidden="false" customHeight="false" outlineLevel="0" collapsed="false">
      <c r="A285" s="6"/>
      <c r="B285" s="10"/>
      <c r="C285" s="6"/>
      <c r="D285" s="14" t="str">
        <f aca="false">IF(C285="","",IFERROR(INDEX(Pacientes!$Q:$Q,MATCH(C285,Pacientes!$A:$A,0)),"ID no existe"))</f>
        <v/>
      </c>
      <c r="E285" s="15" t="str">
        <f aca="false">IF(B285="","",DATE(YEAR(B285),MONTH(B285),1))</f>
        <v/>
      </c>
      <c r="F285" s="9"/>
      <c r="G285" s="6"/>
      <c r="H285" s="6"/>
      <c r="I285" s="6"/>
    </row>
    <row r="286" customFormat="false" ht="15" hidden="false" customHeight="false" outlineLevel="0" collapsed="false">
      <c r="A286" s="6"/>
      <c r="B286" s="10"/>
      <c r="C286" s="6"/>
      <c r="D286" s="14" t="str">
        <f aca="false">IF(C286="","",IFERROR(INDEX(Pacientes!$Q:$Q,MATCH(C286,Pacientes!$A:$A,0)),"ID no existe"))</f>
        <v/>
      </c>
      <c r="E286" s="15" t="str">
        <f aca="false">IF(B286="","",DATE(YEAR(B286),MONTH(B286),1))</f>
        <v/>
      </c>
      <c r="F286" s="9"/>
      <c r="G286" s="6"/>
      <c r="H286" s="6"/>
      <c r="I286" s="6"/>
    </row>
    <row r="287" customFormat="false" ht="15" hidden="false" customHeight="false" outlineLevel="0" collapsed="false">
      <c r="A287" s="6"/>
      <c r="B287" s="10"/>
      <c r="C287" s="6"/>
      <c r="D287" s="14" t="str">
        <f aca="false">IF(C287="","",IFERROR(INDEX(Pacientes!$Q:$Q,MATCH(C287,Pacientes!$A:$A,0)),"ID no existe"))</f>
        <v/>
      </c>
      <c r="E287" s="15" t="str">
        <f aca="false">IF(B287="","",DATE(YEAR(B287),MONTH(B287),1))</f>
        <v/>
      </c>
      <c r="F287" s="9"/>
      <c r="G287" s="6"/>
      <c r="H287" s="6"/>
      <c r="I287" s="6"/>
    </row>
    <row r="288" customFormat="false" ht="15" hidden="false" customHeight="false" outlineLevel="0" collapsed="false">
      <c r="A288" s="6"/>
      <c r="B288" s="10"/>
      <c r="C288" s="6"/>
      <c r="D288" s="14" t="str">
        <f aca="false">IF(C288="","",IFERROR(INDEX(Pacientes!$Q:$Q,MATCH(C288,Pacientes!$A:$A,0)),"ID no existe"))</f>
        <v/>
      </c>
      <c r="E288" s="15" t="str">
        <f aca="false">IF(B288="","",DATE(YEAR(B288),MONTH(B288),1))</f>
        <v/>
      </c>
      <c r="F288" s="9"/>
      <c r="G288" s="6"/>
      <c r="H288" s="6"/>
      <c r="I288" s="6"/>
    </row>
    <row r="289" customFormat="false" ht="15" hidden="false" customHeight="false" outlineLevel="0" collapsed="false">
      <c r="A289" s="6"/>
      <c r="B289" s="10"/>
      <c r="C289" s="6"/>
      <c r="D289" s="14" t="str">
        <f aca="false">IF(C289="","",IFERROR(INDEX(Pacientes!$Q:$Q,MATCH(C289,Pacientes!$A:$A,0)),"ID no existe"))</f>
        <v/>
      </c>
      <c r="E289" s="15" t="str">
        <f aca="false">IF(B289="","",DATE(YEAR(B289),MONTH(B289),1))</f>
        <v/>
      </c>
      <c r="F289" s="9"/>
      <c r="G289" s="6"/>
      <c r="H289" s="6"/>
      <c r="I289" s="6"/>
    </row>
    <row r="290" customFormat="false" ht="15" hidden="false" customHeight="false" outlineLevel="0" collapsed="false">
      <c r="A290" s="6"/>
      <c r="B290" s="10"/>
      <c r="C290" s="6"/>
      <c r="D290" s="14" t="str">
        <f aca="false">IF(C290="","",IFERROR(INDEX(Pacientes!$Q:$Q,MATCH(C290,Pacientes!$A:$A,0)),"ID no existe"))</f>
        <v/>
      </c>
      <c r="E290" s="15" t="str">
        <f aca="false">IF(B290="","",DATE(YEAR(B290),MONTH(B290),1))</f>
        <v/>
      </c>
      <c r="F290" s="9"/>
      <c r="G290" s="6"/>
      <c r="H290" s="6"/>
      <c r="I290" s="6"/>
    </row>
    <row r="291" customFormat="false" ht="15" hidden="false" customHeight="false" outlineLevel="0" collapsed="false">
      <c r="A291" s="6"/>
      <c r="B291" s="10"/>
      <c r="C291" s="6"/>
      <c r="D291" s="14" t="str">
        <f aca="false">IF(C291="","",IFERROR(INDEX(Pacientes!$Q:$Q,MATCH(C291,Pacientes!$A:$A,0)),"ID no existe"))</f>
        <v/>
      </c>
      <c r="E291" s="15" t="str">
        <f aca="false">IF(B291="","",DATE(YEAR(B291),MONTH(B291),1))</f>
        <v/>
      </c>
      <c r="F291" s="9"/>
      <c r="G291" s="6"/>
      <c r="H291" s="6"/>
      <c r="I291" s="6"/>
    </row>
    <row r="292" customFormat="false" ht="15" hidden="false" customHeight="false" outlineLevel="0" collapsed="false">
      <c r="A292" s="6"/>
      <c r="B292" s="10"/>
      <c r="C292" s="6"/>
      <c r="D292" s="14" t="str">
        <f aca="false">IF(C292="","",IFERROR(INDEX(Pacientes!$Q:$Q,MATCH(C292,Pacientes!$A:$A,0)),"ID no existe"))</f>
        <v/>
      </c>
      <c r="E292" s="15" t="str">
        <f aca="false">IF(B292="","",DATE(YEAR(B292),MONTH(B292),1))</f>
        <v/>
      </c>
      <c r="F292" s="9"/>
      <c r="G292" s="6"/>
      <c r="H292" s="6"/>
      <c r="I292" s="6"/>
    </row>
    <row r="293" customFormat="false" ht="15" hidden="false" customHeight="false" outlineLevel="0" collapsed="false">
      <c r="A293" s="6"/>
      <c r="B293" s="10"/>
      <c r="C293" s="6"/>
      <c r="D293" s="14" t="str">
        <f aca="false">IF(C293="","",IFERROR(INDEX(Pacientes!$Q:$Q,MATCH(C293,Pacientes!$A:$A,0)),"ID no existe"))</f>
        <v/>
      </c>
      <c r="E293" s="15" t="str">
        <f aca="false">IF(B293="","",DATE(YEAR(B293),MONTH(B293),1))</f>
        <v/>
      </c>
      <c r="F293" s="9"/>
      <c r="G293" s="6"/>
      <c r="H293" s="6"/>
      <c r="I293" s="6"/>
    </row>
    <row r="294" customFormat="false" ht="15" hidden="false" customHeight="false" outlineLevel="0" collapsed="false">
      <c r="A294" s="6"/>
      <c r="B294" s="10"/>
      <c r="C294" s="6"/>
      <c r="D294" s="14" t="str">
        <f aca="false">IF(C294="","",IFERROR(INDEX(Pacientes!$Q:$Q,MATCH(C294,Pacientes!$A:$A,0)),"ID no existe"))</f>
        <v/>
      </c>
      <c r="E294" s="15" t="str">
        <f aca="false">IF(B294="","",DATE(YEAR(B294),MONTH(B294),1))</f>
        <v/>
      </c>
      <c r="F294" s="9"/>
      <c r="G294" s="6"/>
      <c r="H294" s="6"/>
      <c r="I294" s="6"/>
    </row>
    <row r="295" customFormat="false" ht="15" hidden="false" customHeight="false" outlineLevel="0" collapsed="false">
      <c r="A295" s="6"/>
      <c r="B295" s="10"/>
      <c r="C295" s="6"/>
      <c r="D295" s="14" t="str">
        <f aca="false">IF(C295="","",IFERROR(INDEX(Pacientes!$Q:$Q,MATCH(C295,Pacientes!$A:$A,0)),"ID no existe"))</f>
        <v/>
      </c>
      <c r="E295" s="15" t="str">
        <f aca="false">IF(B295="","",DATE(YEAR(B295),MONTH(B295),1))</f>
        <v/>
      </c>
      <c r="F295" s="9"/>
      <c r="G295" s="6"/>
      <c r="H295" s="6"/>
      <c r="I295" s="6"/>
    </row>
    <row r="296" customFormat="false" ht="15" hidden="false" customHeight="false" outlineLevel="0" collapsed="false">
      <c r="A296" s="6"/>
      <c r="B296" s="10"/>
      <c r="C296" s="6"/>
      <c r="D296" s="14" t="str">
        <f aca="false">IF(C296="","",IFERROR(INDEX(Pacientes!$Q:$Q,MATCH(C296,Pacientes!$A:$A,0)),"ID no existe"))</f>
        <v/>
      </c>
      <c r="E296" s="15" t="str">
        <f aca="false">IF(B296="","",DATE(YEAR(B296),MONTH(B296),1))</f>
        <v/>
      </c>
      <c r="F296" s="9"/>
      <c r="G296" s="6"/>
      <c r="H296" s="6"/>
      <c r="I296" s="6"/>
    </row>
    <row r="297" customFormat="false" ht="15" hidden="false" customHeight="false" outlineLevel="0" collapsed="false">
      <c r="A297" s="6"/>
      <c r="B297" s="10"/>
      <c r="C297" s="6"/>
      <c r="D297" s="14" t="str">
        <f aca="false">IF(C297="","",IFERROR(INDEX(Pacientes!$Q:$Q,MATCH(C297,Pacientes!$A:$A,0)),"ID no existe"))</f>
        <v/>
      </c>
      <c r="E297" s="15" t="str">
        <f aca="false">IF(B297="","",DATE(YEAR(B297),MONTH(B297),1))</f>
        <v/>
      </c>
      <c r="F297" s="9"/>
      <c r="G297" s="6"/>
      <c r="H297" s="6"/>
      <c r="I297" s="6"/>
    </row>
    <row r="298" customFormat="false" ht="15" hidden="false" customHeight="false" outlineLevel="0" collapsed="false">
      <c r="A298" s="6"/>
      <c r="B298" s="10"/>
      <c r="C298" s="6"/>
      <c r="D298" s="14" t="str">
        <f aca="false">IF(C298="","",IFERROR(INDEX(Pacientes!$Q:$Q,MATCH(C298,Pacientes!$A:$A,0)),"ID no existe"))</f>
        <v/>
      </c>
      <c r="E298" s="15" t="str">
        <f aca="false">IF(B298="","",DATE(YEAR(B298),MONTH(B298),1))</f>
        <v/>
      </c>
      <c r="F298" s="9"/>
      <c r="G298" s="6"/>
      <c r="H298" s="6"/>
      <c r="I298" s="6"/>
    </row>
    <row r="299" customFormat="false" ht="15" hidden="false" customHeight="false" outlineLevel="0" collapsed="false">
      <c r="A299" s="6"/>
      <c r="B299" s="10"/>
      <c r="C299" s="6"/>
      <c r="D299" s="14" t="str">
        <f aca="false">IF(C299="","",IFERROR(INDEX(Pacientes!$Q:$Q,MATCH(C299,Pacientes!$A:$A,0)),"ID no existe"))</f>
        <v/>
      </c>
      <c r="E299" s="15" t="str">
        <f aca="false">IF(B299="","",DATE(YEAR(B299),MONTH(B299),1))</f>
        <v/>
      </c>
      <c r="F299" s="9"/>
      <c r="G299" s="6"/>
      <c r="H299" s="6"/>
      <c r="I299" s="6"/>
    </row>
    <row r="300" customFormat="false" ht="15" hidden="false" customHeight="false" outlineLevel="0" collapsed="false">
      <c r="A300" s="6"/>
      <c r="B300" s="10"/>
      <c r="C300" s="6"/>
      <c r="D300" s="14" t="str">
        <f aca="false">IF(C300="","",IFERROR(INDEX(Pacientes!$Q:$Q,MATCH(C300,Pacientes!$A:$A,0)),"ID no existe"))</f>
        <v/>
      </c>
      <c r="E300" s="15" t="str">
        <f aca="false">IF(B300="","",DATE(YEAR(B300),MONTH(B300),1))</f>
        <v/>
      </c>
      <c r="F300" s="9"/>
      <c r="G300" s="6"/>
      <c r="H300" s="6"/>
      <c r="I300" s="6"/>
    </row>
    <row r="301" customFormat="false" ht="15" hidden="false" customHeight="false" outlineLevel="0" collapsed="false">
      <c r="A301" s="6"/>
      <c r="B301" s="10"/>
      <c r="C301" s="6"/>
      <c r="D301" s="14" t="str">
        <f aca="false">IF(C301="","",IFERROR(INDEX(Pacientes!$Q:$Q,MATCH(C301,Pacientes!$A:$A,0)),"ID no existe"))</f>
        <v/>
      </c>
      <c r="E301" s="15" t="str">
        <f aca="false">IF(B301="","",DATE(YEAR(B301),MONTH(B301),1))</f>
        <v/>
      </c>
      <c r="F301" s="9"/>
      <c r="G301" s="6"/>
      <c r="H301" s="6"/>
      <c r="I301" s="6"/>
    </row>
    <row r="302" customFormat="false" ht="15" hidden="false" customHeight="false" outlineLevel="0" collapsed="false">
      <c r="A302" s="6"/>
      <c r="B302" s="10"/>
      <c r="C302" s="6"/>
      <c r="D302" s="14" t="str">
        <f aca="false">IF(C302="","",IFERROR(INDEX(Pacientes!$Q:$Q,MATCH(C302,Pacientes!$A:$A,0)),"ID no existe"))</f>
        <v/>
      </c>
      <c r="E302" s="15" t="str">
        <f aca="false">IF(B302="","",DATE(YEAR(B302),MONTH(B302),1))</f>
        <v/>
      </c>
      <c r="F302" s="9"/>
      <c r="G302" s="6"/>
      <c r="H302" s="6"/>
      <c r="I302" s="6"/>
    </row>
    <row r="303" customFormat="false" ht="15" hidden="false" customHeight="false" outlineLevel="0" collapsed="false">
      <c r="A303" s="6"/>
      <c r="B303" s="10"/>
      <c r="C303" s="6"/>
      <c r="D303" s="14" t="str">
        <f aca="false">IF(C303="","",IFERROR(INDEX(Pacientes!$Q:$Q,MATCH(C303,Pacientes!$A:$A,0)),"ID no existe"))</f>
        <v/>
      </c>
      <c r="E303" s="15" t="str">
        <f aca="false">IF(B303="","",DATE(YEAR(B303),MONTH(B303),1))</f>
        <v/>
      </c>
      <c r="F303" s="9"/>
      <c r="G303" s="6"/>
      <c r="H303" s="6"/>
      <c r="I303" s="6"/>
    </row>
    <row r="304" customFormat="false" ht="15" hidden="false" customHeight="false" outlineLevel="0" collapsed="false">
      <c r="A304" s="6"/>
      <c r="B304" s="10"/>
      <c r="C304" s="6"/>
      <c r="D304" s="14" t="str">
        <f aca="false">IF(C304="","",IFERROR(INDEX(Pacientes!$Q:$Q,MATCH(C304,Pacientes!$A:$A,0)),"ID no existe"))</f>
        <v/>
      </c>
      <c r="E304" s="15" t="str">
        <f aca="false">IF(B304="","",DATE(YEAR(B304),MONTH(B304),1))</f>
        <v/>
      </c>
      <c r="F304" s="9"/>
      <c r="G304" s="6"/>
      <c r="H304" s="6"/>
      <c r="I304" s="6"/>
    </row>
    <row r="305" customFormat="false" ht="15" hidden="false" customHeight="false" outlineLevel="0" collapsed="false">
      <c r="A305" s="6"/>
      <c r="B305" s="10"/>
      <c r="C305" s="6"/>
      <c r="D305" s="14" t="str">
        <f aca="false">IF(C305="","",IFERROR(INDEX(Pacientes!$Q:$Q,MATCH(C305,Pacientes!$A:$A,0)),"ID no existe"))</f>
        <v/>
      </c>
      <c r="E305" s="15" t="str">
        <f aca="false">IF(B305="","",DATE(YEAR(B305),MONTH(B305),1))</f>
        <v/>
      </c>
      <c r="F305" s="9"/>
      <c r="G305" s="6"/>
      <c r="H305" s="6"/>
      <c r="I305" s="6"/>
    </row>
    <row r="306" customFormat="false" ht="15" hidden="false" customHeight="false" outlineLevel="0" collapsed="false">
      <c r="A306" s="6"/>
      <c r="B306" s="10"/>
      <c r="C306" s="6"/>
      <c r="D306" s="14" t="str">
        <f aca="false">IF(C306="","",IFERROR(INDEX(Pacientes!$Q:$Q,MATCH(C306,Pacientes!$A:$A,0)),"ID no existe"))</f>
        <v/>
      </c>
      <c r="E306" s="15" t="str">
        <f aca="false">IF(B306="","",DATE(YEAR(B306),MONTH(B306),1))</f>
        <v/>
      </c>
      <c r="F306" s="9"/>
      <c r="G306" s="6"/>
      <c r="H306" s="6"/>
      <c r="I306" s="6"/>
    </row>
    <row r="307" customFormat="false" ht="15" hidden="false" customHeight="false" outlineLevel="0" collapsed="false">
      <c r="A307" s="6"/>
      <c r="B307" s="10"/>
      <c r="C307" s="6"/>
      <c r="D307" s="14" t="str">
        <f aca="false">IF(C307="","",IFERROR(INDEX(Pacientes!$Q:$Q,MATCH(C307,Pacientes!$A:$A,0)),"ID no existe"))</f>
        <v/>
      </c>
      <c r="E307" s="15" t="str">
        <f aca="false">IF(B307="","",DATE(YEAR(B307),MONTH(B307),1))</f>
        <v/>
      </c>
      <c r="F307" s="9"/>
      <c r="G307" s="6"/>
      <c r="H307" s="6"/>
      <c r="I307" s="6"/>
    </row>
    <row r="308" customFormat="false" ht="15" hidden="false" customHeight="false" outlineLevel="0" collapsed="false">
      <c r="A308" s="6"/>
      <c r="B308" s="10"/>
      <c r="C308" s="6"/>
      <c r="D308" s="14" t="str">
        <f aca="false">IF(C308="","",IFERROR(INDEX(Pacientes!$Q:$Q,MATCH(C308,Pacientes!$A:$A,0)),"ID no existe"))</f>
        <v/>
      </c>
      <c r="E308" s="15" t="str">
        <f aca="false">IF(B308="","",DATE(YEAR(B308),MONTH(B308),1))</f>
        <v/>
      </c>
      <c r="F308" s="9"/>
      <c r="G308" s="6"/>
      <c r="H308" s="6"/>
      <c r="I308" s="6"/>
    </row>
    <row r="309" customFormat="false" ht="15" hidden="false" customHeight="false" outlineLevel="0" collapsed="false">
      <c r="A309" s="6"/>
      <c r="B309" s="10"/>
      <c r="C309" s="6"/>
      <c r="D309" s="14" t="str">
        <f aca="false">IF(C309="","",IFERROR(INDEX(Pacientes!$Q:$Q,MATCH(C309,Pacientes!$A:$A,0)),"ID no existe"))</f>
        <v/>
      </c>
      <c r="E309" s="15" t="str">
        <f aca="false">IF(B309="","",DATE(YEAR(B309),MONTH(B309),1))</f>
        <v/>
      </c>
      <c r="F309" s="9"/>
      <c r="G309" s="6"/>
      <c r="H309" s="6"/>
      <c r="I309" s="6"/>
    </row>
    <row r="310" customFormat="false" ht="15" hidden="false" customHeight="false" outlineLevel="0" collapsed="false">
      <c r="A310" s="6"/>
      <c r="B310" s="10"/>
      <c r="C310" s="6"/>
      <c r="D310" s="14" t="str">
        <f aca="false">IF(C310="","",IFERROR(INDEX(Pacientes!$Q:$Q,MATCH(C310,Pacientes!$A:$A,0)),"ID no existe"))</f>
        <v/>
      </c>
      <c r="E310" s="15" t="str">
        <f aca="false">IF(B310="","",DATE(YEAR(B310),MONTH(B310),1))</f>
        <v/>
      </c>
      <c r="F310" s="9"/>
      <c r="G310" s="6"/>
      <c r="H310" s="6"/>
      <c r="I310" s="6"/>
    </row>
    <row r="311" customFormat="false" ht="15" hidden="false" customHeight="false" outlineLevel="0" collapsed="false">
      <c r="A311" s="6"/>
      <c r="B311" s="10"/>
      <c r="C311" s="6"/>
      <c r="D311" s="14" t="str">
        <f aca="false">IF(C311="","",IFERROR(INDEX(Pacientes!$Q:$Q,MATCH(C311,Pacientes!$A:$A,0)),"ID no existe"))</f>
        <v/>
      </c>
      <c r="E311" s="15" t="str">
        <f aca="false">IF(B311="","",DATE(YEAR(B311),MONTH(B311),1))</f>
        <v/>
      </c>
      <c r="F311" s="9"/>
      <c r="G311" s="6"/>
      <c r="H311" s="6"/>
      <c r="I311" s="6"/>
    </row>
    <row r="312" customFormat="false" ht="15" hidden="false" customHeight="false" outlineLevel="0" collapsed="false">
      <c r="A312" s="6"/>
      <c r="B312" s="10"/>
      <c r="C312" s="6"/>
      <c r="D312" s="14" t="str">
        <f aca="false">IF(C312="","",IFERROR(INDEX(Pacientes!$Q:$Q,MATCH(C312,Pacientes!$A:$A,0)),"ID no existe"))</f>
        <v/>
      </c>
      <c r="E312" s="15" t="str">
        <f aca="false">IF(B312="","",DATE(YEAR(B312),MONTH(B312),1))</f>
        <v/>
      </c>
      <c r="F312" s="9"/>
      <c r="G312" s="6"/>
      <c r="H312" s="6"/>
      <c r="I312" s="6"/>
    </row>
    <row r="313" customFormat="false" ht="15" hidden="false" customHeight="false" outlineLevel="0" collapsed="false">
      <c r="A313" s="6"/>
      <c r="B313" s="10"/>
      <c r="C313" s="6"/>
      <c r="D313" s="14" t="str">
        <f aca="false">IF(C313="","",IFERROR(INDEX(Pacientes!$Q:$Q,MATCH(C313,Pacientes!$A:$A,0)),"ID no existe"))</f>
        <v/>
      </c>
      <c r="E313" s="15" t="str">
        <f aca="false">IF(B313="","",DATE(YEAR(B313),MONTH(B313),1))</f>
        <v/>
      </c>
      <c r="F313" s="9"/>
      <c r="G313" s="6"/>
      <c r="H313" s="6"/>
      <c r="I313" s="6"/>
    </row>
    <row r="314" customFormat="false" ht="15" hidden="false" customHeight="false" outlineLevel="0" collapsed="false">
      <c r="A314" s="6"/>
      <c r="B314" s="10"/>
      <c r="C314" s="6"/>
      <c r="D314" s="14" t="str">
        <f aca="false">IF(C314="","",IFERROR(INDEX(Pacientes!$Q:$Q,MATCH(C314,Pacientes!$A:$A,0)),"ID no existe"))</f>
        <v/>
      </c>
      <c r="E314" s="15" t="str">
        <f aca="false">IF(B314="","",DATE(YEAR(B314),MONTH(B314),1))</f>
        <v/>
      </c>
      <c r="F314" s="9"/>
      <c r="G314" s="6"/>
      <c r="H314" s="6"/>
      <c r="I314" s="6"/>
    </row>
    <row r="315" customFormat="false" ht="15" hidden="false" customHeight="false" outlineLevel="0" collapsed="false">
      <c r="A315" s="6"/>
      <c r="B315" s="10"/>
      <c r="C315" s="6"/>
      <c r="D315" s="14" t="str">
        <f aca="false">IF(C315="","",IFERROR(INDEX(Pacientes!$Q:$Q,MATCH(C315,Pacientes!$A:$A,0)),"ID no existe"))</f>
        <v/>
      </c>
      <c r="E315" s="15" t="str">
        <f aca="false">IF(B315="","",DATE(YEAR(B315),MONTH(B315),1))</f>
        <v/>
      </c>
      <c r="F315" s="9"/>
      <c r="G315" s="6"/>
      <c r="H315" s="6"/>
      <c r="I315" s="6"/>
    </row>
    <row r="316" customFormat="false" ht="15" hidden="false" customHeight="false" outlineLevel="0" collapsed="false">
      <c r="A316" s="6"/>
      <c r="B316" s="10"/>
      <c r="C316" s="6"/>
      <c r="D316" s="14" t="str">
        <f aca="false">IF(C316="","",IFERROR(INDEX(Pacientes!$Q:$Q,MATCH(C316,Pacientes!$A:$A,0)),"ID no existe"))</f>
        <v/>
      </c>
      <c r="E316" s="15" t="str">
        <f aca="false">IF(B316="","",DATE(YEAR(B316),MONTH(B316),1))</f>
        <v/>
      </c>
      <c r="F316" s="9"/>
      <c r="G316" s="6"/>
      <c r="H316" s="6"/>
      <c r="I316" s="6"/>
    </row>
    <row r="317" customFormat="false" ht="15" hidden="false" customHeight="false" outlineLevel="0" collapsed="false">
      <c r="A317" s="6"/>
      <c r="B317" s="10"/>
      <c r="C317" s="6"/>
      <c r="D317" s="14" t="str">
        <f aca="false">IF(C317="","",IFERROR(INDEX(Pacientes!$Q:$Q,MATCH(C317,Pacientes!$A:$A,0)),"ID no existe"))</f>
        <v/>
      </c>
      <c r="E317" s="15" t="str">
        <f aca="false">IF(B317="","",DATE(YEAR(B317),MONTH(B317),1))</f>
        <v/>
      </c>
      <c r="F317" s="9"/>
      <c r="G317" s="6"/>
      <c r="H317" s="6"/>
      <c r="I317" s="6"/>
    </row>
    <row r="318" customFormat="false" ht="15" hidden="false" customHeight="false" outlineLevel="0" collapsed="false">
      <c r="A318" s="6"/>
      <c r="B318" s="10"/>
      <c r="C318" s="6"/>
      <c r="D318" s="14" t="str">
        <f aca="false">IF(C318="","",IFERROR(INDEX(Pacientes!$Q:$Q,MATCH(C318,Pacientes!$A:$A,0)),"ID no existe"))</f>
        <v/>
      </c>
      <c r="E318" s="15" t="str">
        <f aca="false">IF(B318="","",DATE(YEAR(B318),MONTH(B318),1))</f>
        <v/>
      </c>
      <c r="F318" s="9"/>
      <c r="G318" s="6"/>
      <c r="H318" s="6"/>
      <c r="I318" s="6"/>
    </row>
    <row r="319" customFormat="false" ht="15" hidden="false" customHeight="false" outlineLevel="0" collapsed="false">
      <c r="A319" s="6"/>
      <c r="B319" s="10"/>
      <c r="C319" s="6"/>
      <c r="D319" s="14" t="str">
        <f aca="false">IF(C319="","",IFERROR(INDEX(Pacientes!$Q:$Q,MATCH(C319,Pacientes!$A:$A,0)),"ID no existe"))</f>
        <v/>
      </c>
      <c r="E319" s="15" t="str">
        <f aca="false">IF(B319="","",DATE(YEAR(B319),MONTH(B319),1))</f>
        <v/>
      </c>
      <c r="F319" s="9"/>
      <c r="G319" s="6"/>
      <c r="H319" s="6"/>
      <c r="I319" s="6"/>
    </row>
    <row r="320" customFormat="false" ht="15" hidden="false" customHeight="false" outlineLevel="0" collapsed="false">
      <c r="A320" s="6"/>
      <c r="B320" s="10"/>
      <c r="C320" s="6"/>
      <c r="D320" s="14" t="str">
        <f aca="false">IF(C320="","",IFERROR(INDEX(Pacientes!$Q:$Q,MATCH(C320,Pacientes!$A:$A,0)),"ID no existe"))</f>
        <v/>
      </c>
      <c r="E320" s="15" t="str">
        <f aca="false">IF(B320="","",DATE(YEAR(B320),MONTH(B320),1))</f>
        <v/>
      </c>
      <c r="F320" s="9"/>
      <c r="G320" s="6"/>
      <c r="H320" s="6"/>
      <c r="I320" s="6"/>
    </row>
    <row r="321" customFormat="false" ht="15" hidden="false" customHeight="false" outlineLevel="0" collapsed="false">
      <c r="A321" s="6"/>
      <c r="B321" s="10"/>
      <c r="C321" s="6"/>
      <c r="D321" s="14" t="str">
        <f aca="false">IF(C321="","",IFERROR(INDEX(Pacientes!$Q:$Q,MATCH(C321,Pacientes!$A:$A,0)),"ID no existe"))</f>
        <v/>
      </c>
      <c r="E321" s="15" t="str">
        <f aca="false">IF(B321="","",DATE(YEAR(B321),MONTH(B321),1))</f>
        <v/>
      </c>
      <c r="F321" s="9"/>
      <c r="G321" s="6"/>
      <c r="H321" s="6"/>
      <c r="I321" s="6"/>
    </row>
    <row r="322" customFormat="false" ht="15" hidden="false" customHeight="false" outlineLevel="0" collapsed="false">
      <c r="A322" s="6"/>
      <c r="B322" s="10"/>
      <c r="C322" s="6"/>
      <c r="D322" s="14" t="str">
        <f aca="false">IF(C322="","",IFERROR(INDEX(Pacientes!$Q:$Q,MATCH(C322,Pacientes!$A:$A,0)),"ID no existe"))</f>
        <v/>
      </c>
      <c r="E322" s="15" t="str">
        <f aca="false">IF(B322="","",DATE(YEAR(B322),MONTH(B322),1))</f>
        <v/>
      </c>
      <c r="F322" s="9"/>
      <c r="G322" s="6"/>
      <c r="H322" s="6"/>
      <c r="I322" s="6"/>
    </row>
    <row r="323" customFormat="false" ht="15" hidden="false" customHeight="false" outlineLevel="0" collapsed="false">
      <c r="A323" s="6"/>
      <c r="B323" s="10"/>
      <c r="C323" s="6"/>
      <c r="D323" s="14" t="str">
        <f aca="false">IF(C323="","",IFERROR(INDEX(Pacientes!$Q:$Q,MATCH(C323,Pacientes!$A:$A,0)),"ID no existe"))</f>
        <v/>
      </c>
      <c r="E323" s="15" t="str">
        <f aca="false">IF(B323="","",DATE(YEAR(B323),MONTH(B323),1))</f>
        <v/>
      </c>
      <c r="F323" s="9"/>
      <c r="G323" s="6"/>
      <c r="H323" s="6"/>
      <c r="I323" s="6"/>
    </row>
    <row r="324" customFormat="false" ht="15" hidden="false" customHeight="false" outlineLevel="0" collapsed="false">
      <c r="A324" s="6"/>
      <c r="B324" s="10"/>
      <c r="C324" s="6"/>
      <c r="D324" s="14" t="str">
        <f aca="false">IF(C324="","",IFERROR(INDEX(Pacientes!$Q:$Q,MATCH(C324,Pacientes!$A:$A,0)),"ID no existe"))</f>
        <v/>
      </c>
      <c r="E324" s="15" t="str">
        <f aca="false">IF(B324="","",DATE(YEAR(B324),MONTH(B324),1))</f>
        <v/>
      </c>
      <c r="F324" s="9"/>
      <c r="G324" s="6"/>
      <c r="H324" s="6"/>
      <c r="I324" s="6"/>
    </row>
    <row r="325" customFormat="false" ht="15" hidden="false" customHeight="false" outlineLevel="0" collapsed="false">
      <c r="A325" s="6"/>
      <c r="B325" s="10"/>
      <c r="C325" s="6"/>
      <c r="D325" s="14" t="str">
        <f aca="false">IF(C325="","",IFERROR(INDEX(Pacientes!$Q:$Q,MATCH(C325,Pacientes!$A:$A,0)),"ID no existe"))</f>
        <v/>
      </c>
      <c r="E325" s="15" t="str">
        <f aca="false">IF(B325="","",DATE(YEAR(B325),MONTH(B325),1))</f>
        <v/>
      </c>
      <c r="F325" s="9"/>
      <c r="G325" s="6"/>
      <c r="H325" s="6"/>
      <c r="I325" s="6"/>
    </row>
    <row r="326" customFormat="false" ht="15" hidden="false" customHeight="false" outlineLevel="0" collapsed="false">
      <c r="A326" s="6"/>
      <c r="B326" s="10"/>
      <c r="C326" s="6"/>
      <c r="D326" s="14" t="str">
        <f aca="false">IF(C326="","",IFERROR(INDEX(Pacientes!$Q:$Q,MATCH(C326,Pacientes!$A:$A,0)),"ID no existe"))</f>
        <v/>
      </c>
      <c r="E326" s="15" t="str">
        <f aca="false">IF(B326="","",DATE(YEAR(B326),MONTH(B326),1))</f>
        <v/>
      </c>
      <c r="F326" s="9"/>
      <c r="G326" s="6"/>
      <c r="H326" s="6"/>
      <c r="I326" s="6"/>
    </row>
    <row r="327" customFormat="false" ht="15" hidden="false" customHeight="false" outlineLevel="0" collapsed="false">
      <c r="A327" s="6"/>
      <c r="B327" s="10"/>
      <c r="C327" s="6"/>
      <c r="D327" s="14" t="str">
        <f aca="false">IF(C327="","",IFERROR(INDEX(Pacientes!$Q:$Q,MATCH(C327,Pacientes!$A:$A,0)),"ID no existe"))</f>
        <v/>
      </c>
      <c r="E327" s="15" t="str">
        <f aca="false">IF(B327="","",DATE(YEAR(B327),MONTH(B327),1))</f>
        <v/>
      </c>
      <c r="F327" s="9"/>
      <c r="G327" s="6"/>
      <c r="H327" s="6"/>
      <c r="I327" s="6"/>
    </row>
    <row r="328" customFormat="false" ht="15" hidden="false" customHeight="false" outlineLevel="0" collapsed="false">
      <c r="A328" s="6"/>
      <c r="B328" s="10"/>
      <c r="C328" s="6"/>
      <c r="D328" s="14" t="str">
        <f aca="false">IF(C328="","",IFERROR(INDEX(Pacientes!$Q:$Q,MATCH(C328,Pacientes!$A:$A,0)),"ID no existe"))</f>
        <v/>
      </c>
      <c r="E328" s="15" t="str">
        <f aca="false">IF(B328="","",DATE(YEAR(B328),MONTH(B328),1))</f>
        <v/>
      </c>
      <c r="F328" s="9"/>
      <c r="G328" s="6"/>
      <c r="H328" s="6"/>
      <c r="I328" s="6"/>
    </row>
    <row r="329" customFormat="false" ht="15" hidden="false" customHeight="false" outlineLevel="0" collapsed="false">
      <c r="A329" s="6"/>
      <c r="B329" s="10"/>
      <c r="C329" s="6"/>
      <c r="D329" s="14" t="str">
        <f aca="false">IF(C329="","",IFERROR(INDEX(Pacientes!$Q:$Q,MATCH(C329,Pacientes!$A:$A,0)),"ID no existe"))</f>
        <v/>
      </c>
      <c r="E329" s="15" t="str">
        <f aca="false">IF(B329="","",DATE(YEAR(B329),MONTH(B329),1))</f>
        <v/>
      </c>
      <c r="F329" s="9"/>
      <c r="G329" s="6"/>
      <c r="H329" s="6"/>
      <c r="I329" s="6"/>
    </row>
    <row r="330" customFormat="false" ht="15" hidden="false" customHeight="false" outlineLevel="0" collapsed="false">
      <c r="A330" s="6"/>
      <c r="B330" s="10"/>
      <c r="C330" s="6"/>
      <c r="D330" s="14" t="str">
        <f aca="false">IF(C330="","",IFERROR(INDEX(Pacientes!$Q:$Q,MATCH(C330,Pacientes!$A:$A,0)),"ID no existe"))</f>
        <v/>
      </c>
      <c r="E330" s="15" t="str">
        <f aca="false">IF(B330="","",DATE(YEAR(B330),MONTH(B330),1))</f>
        <v/>
      </c>
      <c r="F330" s="9"/>
      <c r="G330" s="6"/>
      <c r="H330" s="6"/>
      <c r="I330" s="6"/>
    </row>
    <row r="331" customFormat="false" ht="15" hidden="false" customHeight="false" outlineLevel="0" collapsed="false">
      <c r="A331" s="6"/>
      <c r="B331" s="10"/>
      <c r="C331" s="6"/>
      <c r="D331" s="14" t="str">
        <f aca="false">IF(C331="","",IFERROR(INDEX(Pacientes!$Q:$Q,MATCH(C331,Pacientes!$A:$A,0)),"ID no existe"))</f>
        <v/>
      </c>
      <c r="E331" s="15" t="str">
        <f aca="false">IF(B331="","",DATE(YEAR(B331),MONTH(B331),1))</f>
        <v/>
      </c>
      <c r="F331" s="9"/>
      <c r="G331" s="6"/>
      <c r="H331" s="6"/>
      <c r="I331" s="6"/>
    </row>
    <row r="332" customFormat="false" ht="15" hidden="false" customHeight="false" outlineLevel="0" collapsed="false">
      <c r="A332" s="6"/>
      <c r="B332" s="10"/>
      <c r="C332" s="6"/>
      <c r="D332" s="14" t="str">
        <f aca="false">IF(C332="","",IFERROR(INDEX(Pacientes!$Q:$Q,MATCH(C332,Pacientes!$A:$A,0)),"ID no existe"))</f>
        <v/>
      </c>
      <c r="E332" s="15" t="str">
        <f aca="false">IF(B332="","",DATE(YEAR(B332),MONTH(B332),1))</f>
        <v/>
      </c>
      <c r="F332" s="9"/>
      <c r="G332" s="6"/>
      <c r="H332" s="6"/>
      <c r="I332" s="6"/>
    </row>
    <row r="333" customFormat="false" ht="15" hidden="false" customHeight="false" outlineLevel="0" collapsed="false">
      <c r="A333" s="6"/>
      <c r="B333" s="10"/>
      <c r="C333" s="6"/>
      <c r="D333" s="14" t="str">
        <f aca="false">IF(C333="","",IFERROR(INDEX(Pacientes!$Q:$Q,MATCH(C333,Pacientes!$A:$A,0)),"ID no existe"))</f>
        <v/>
      </c>
      <c r="E333" s="15" t="str">
        <f aca="false">IF(B333="","",DATE(YEAR(B333),MONTH(B333),1))</f>
        <v/>
      </c>
      <c r="F333" s="9"/>
      <c r="G333" s="6"/>
      <c r="H333" s="6"/>
      <c r="I333" s="6"/>
    </row>
    <row r="334" customFormat="false" ht="15" hidden="false" customHeight="false" outlineLevel="0" collapsed="false">
      <c r="A334" s="6"/>
      <c r="B334" s="10"/>
      <c r="C334" s="6"/>
      <c r="D334" s="14" t="str">
        <f aca="false">IF(C334="","",IFERROR(INDEX(Pacientes!$Q:$Q,MATCH(C334,Pacientes!$A:$A,0)),"ID no existe"))</f>
        <v/>
      </c>
      <c r="E334" s="15" t="str">
        <f aca="false">IF(B334="","",DATE(YEAR(B334),MONTH(B334),1))</f>
        <v/>
      </c>
      <c r="F334" s="9"/>
      <c r="G334" s="6"/>
      <c r="H334" s="6"/>
      <c r="I334" s="6"/>
    </row>
    <row r="335" customFormat="false" ht="15" hidden="false" customHeight="false" outlineLevel="0" collapsed="false">
      <c r="A335" s="6"/>
      <c r="B335" s="10"/>
      <c r="C335" s="6"/>
      <c r="D335" s="14" t="str">
        <f aca="false">IF(C335="","",IFERROR(INDEX(Pacientes!$Q:$Q,MATCH(C335,Pacientes!$A:$A,0)),"ID no existe"))</f>
        <v/>
      </c>
      <c r="E335" s="15" t="str">
        <f aca="false">IF(B335="","",DATE(YEAR(B335),MONTH(B335),1))</f>
        <v/>
      </c>
      <c r="F335" s="9"/>
      <c r="G335" s="6"/>
      <c r="H335" s="6"/>
      <c r="I335" s="6"/>
    </row>
    <row r="336" customFormat="false" ht="15" hidden="false" customHeight="false" outlineLevel="0" collapsed="false">
      <c r="A336" s="6"/>
      <c r="B336" s="10"/>
      <c r="C336" s="6"/>
      <c r="D336" s="14" t="str">
        <f aca="false">IF(C336="","",IFERROR(INDEX(Pacientes!$Q:$Q,MATCH(C336,Pacientes!$A:$A,0)),"ID no existe"))</f>
        <v/>
      </c>
      <c r="E336" s="15" t="str">
        <f aca="false">IF(B336="","",DATE(YEAR(B336),MONTH(B336),1))</f>
        <v/>
      </c>
      <c r="F336" s="9"/>
      <c r="G336" s="6"/>
      <c r="H336" s="6"/>
      <c r="I336" s="6"/>
    </row>
    <row r="337" customFormat="false" ht="15" hidden="false" customHeight="false" outlineLevel="0" collapsed="false">
      <c r="A337" s="6"/>
      <c r="B337" s="10"/>
      <c r="C337" s="6"/>
      <c r="D337" s="14" t="str">
        <f aca="false">IF(C337="","",IFERROR(INDEX(Pacientes!$Q:$Q,MATCH(C337,Pacientes!$A:$A,0)),"ID no existe"))</f>
        <v/>
      </c>
      <c r="E337" s="15" t="str">
        <f aca="false">IF(B337="","",DATE(YEAR(B337),MONTH(B337),1))</f>
        <v/>
      </c>
      <c r="F337" s="9"/>
      <c r="G337" s="6"/>
      <c r="H337" s="6"/>
      <c r="I337" s="6"/>
    </row>
    <row r="338" customFormat="false" ht="15" hidden="false" customHeight="false" outlineLevel="0" collapsed="false">
      <c r="A338" s="6"/>
      <c r="B338" s="10"/>
      <c r="C338" s="6"/>
      <c r="D338" s="14" t="str">
        <f aca="false">IF(C338="","",IFERROR(INDEX(Pacientes!$Q:$Q,MATCH(C338,Pacientes!$A:$A,0)),"ID no existe"))</f>
        <v/>
      </c>
      <c r="E338" s="15" t="str">
        <f aca="false">IF(B338="","",DATE(YEAR(B338),MONTH(B338),1))</f>
        <v/>
      </c>
      <c r="F338" s="9"/>
      <c r="G338" s="6"/>
      <c r="H338" s="6"/>
      <c r="I338" s="6"/>
    </row>
    <row r="339" customFormat="false" ht="15" hidden="false" customHeight="false" outlineLevel="0" collapsed="false">
      <c r="A339" s="6"/>
      <c r="B339" s="10"/>
      <c r="C339" s="6"/>
      <c r="D339" s="14" t="str">
        <f aca="false">IF(C339="","",IFERROR(INDEX(Pacientes!$Q:$Q,MATCH(C339,Pacientes!$A:$A,0)),"ID no existe"))</f>
        <v/>
      </c>
      <c r="E339" s="15" t="str">
        <f aca="false">IF(B339="","",DATE(YEAR(B339),MONTH(B339),1))</f>
        <v/>
      </c>
      <c r="F339" s="9"/>
      <c r="G339" s="6"/>
      <c r="H339" s="6"/>
      <c r="I339" s="6"/>
    </row>
    <row r="340" customFormat="false" ht="15" hidden="false" customHeight="false" outlineLevel="0" collapsed="false">
      <c r="A340" s="6"/>
      <c r="B340" s="10"/>
      <c r="C340" s="6"/>
      <c r="D340" s="14" t="str">
        <f aca="false">IF(C340="","",IFERROR(INDEX(Pacientes!$Q:$Q,MATCH(C340,Pacientes!$A:$A,0)),"ID no existe"))</f>
        <v/>
      </c>
      <c r="E340" s="15" t="str">
        <f aca="false">IF(B340="","",DATE(YEAR(B340),MONTH(B340),1))</f>
        <v/>
      </c>
      <c r="F340" s="9"/>
      <c r="G340" s="6"/>
      <c r="H340" s="6"/>
      <c r="I340" s="6"/>
    </row>
    <row r="341" customFormat="false" ht="15" hidden="false" customHeight="false" outlineLevel="0" collapsed="false">
      <c r="A341" s="6"/>
      <c r="B341" s="10"/>
      <c r="C341" s="6"/>
      <c r="D341" s="14" t="str">
        <f aca="false">IF(C341="","",IFERROR(INDEX(Pacientes!$Q:$Q,MATCH(C341,Pacientes!$A:$A,0)),"ID no existe"))</f>
        <v/>
      </c>
      <c r="E341" s="15" t="str">
        <f aca="false">IF(B341="","",DATE(YEAR(B341),MONTH(B341),1))</f>
        <v/>
      </c>
      <c r="F341" s="9"/>
      <c r="G341" s="6"/>
      <c r="H341" s="6"/>
      <c r="I341" s="6"/>
    </row>
    <row r="342" customFormat="false" ht="15" hidden="false" customHeight="false" outlineLevel="0" collapsed="false">
      <c r="A342" s="6"/>
      <c r="B342" s="10"/>
      <c r="C342" s="6"/>
      <c r="D342" s="14" t="str">
        <f aca="false">IF(C342="","",IFERROR(INDEX(Pacientes!$Q:$Q,MATCH(C342,Pacientes!$A:$A,0)),"ID no existe"))</f>
        <v/>
      </c>
      <c r="E342" s="15" t="str">
        <f aca="false">IF(B342="","",DATE(YEAR(B342),MONTH(B342),1))</f>
        <v/>
      </c>
      <c r="F342" s="9"/>
      <c r="G342" s="6"/>
      <c r="H342" s="6"/>
      <c r="I342" s="6"/>
    </row>
    <row r="343" customFormat="false" ht="15" hidden="false" customHeight="false" outlineLevel="0" collapsed="false">
      <c r="A343" s="6"/>
      <c r="B343" s="10"/>
      <c r="C343" s="6"/>
      <c r="D343" s="14" t="str">
        <f aca="false">IF(C343="","",IFERROR(INDEX(Pacientes!$Q:$Q,MATCH(C343,Pacientes!$A:$A,0)),"ID no existe"))</f>
        <v/>
      </c>
      <c r="E343" s="15" t="str">
        <f aca="false">IF(B343="","",DATE(YEAR(B343),MONTH(B343),1))</f>
        <v/>
      </c>
      <c r="F343" s="9"/>
      <c r="G343" s="6"/>
      <c r="H343" s="6"/>
      <c r="I343" s="6"/>
    </row>
    <row r="344" customFormat="false" ht="15" hidden="false" customHeight="false" outlineLevel="0" collapsed="false">
      <c r="A344" s="6"/>
      <c r="B344" s="10"/>
      <c r="C344" s="6"/>
      <c r="D344" s="14" t="str">
        <f aca="false">IF(C344="","",IFERROR(INDEX(Pacientes!$Q:$Q,MATCH(C344,Pacientes!$A:$A,0)),"ID no existe"))</f>
        <v/>
      </c>
      <c r="E344" s="15" t="str">
        <f aca="false">IF(B344="","",DATE(YEAR(B344),MONTH(B344),1))</f>
        <v/>
      </c>
      <c r="F344" s="9"/>
      <c r="G344" s="6"/>
      <c r="H344" s="6"/>
      <c r="I344" s="6"/>
    </row>
    <row r="345" customFormat="false" ht="15" hidden="false" customHeight="false" outlineLevel="0" collapsed="false">
      <c r="A345" s="6"/>
      <c r="B345" s="10"/>
      <c r="C345" s="6"/>
      <c r="D345" s="14" t="str">
        <f aca="false">IF(C345="","",IFERROR(INDEX(Pacientes!$Q:$Q,MATCH(C345,Pacientes!$A:$A,0)),"ID no existe"))</f>
        <v/>
      </c>
      <c r="E345" s="15" t="str">
        <f aca="false">IF(B345="","",DATE(YEAR(B345),MONTH(B345),1))</f>
        <v/>
      </c>
      <c r="F345" s="9"/>
      <c r="G345" s="6"/>
      <c r="H345" s="6"/>
      <c r="I345" s="6"/>
    </row>
    <row r="346" customFormat="false" ht="15" hidden="false" customHeight="false" outlineLevel="0" collapsed="false">
      <c r="A346" s="6"/>
      <c r="B346" s="10"/>
      <c r="C346" s="6"/>
      <c r="D346" s="14" t="str">
        <f aca="false">IF(C346="","",IFERROR(INDEX(Pacientes!$Q:$Q,MATCH(C346,Pacientes!$A:$A,0)),"ID no existe"))</f>
        <v/>
      </c>
      <c r="E346" s="15" t="str">
        <f aca="false">IF(B346="","",DATE(YEAR(B346),MONTH(B346),1))</f>
        <v/>
      </c>
      <c r="F346" s="9"/>
      <c r="G346" s="6"/>
      <c r="H346" s="6"/>
      <c r="I346" s="6"/>
    </row>
    <row r="347" customFormat="false" ht="15" hidden="false" customHeight="false" outlineLevel="0" collapsed="false">
      <c r="A347" s="6"/>
      <c r="B347" s="10"/>
      <c r="C347" s="6"/>
      <c r="D347" s="14" t="str">
        <f aca="false">IF(C347="","",IFERROR(INDEX(Pacientes!$Q:$Q,MATCH(C347,Pacientes!$A:$A,0)),"ID no existe"))</f>
        <v/>
      </c>
      <c r="E347" s="15" t="str">
        <f aca="false">IF(B347="","",DATE(YEAR(B347),MONTH(B347),1))</f>
        <v/>
      </c>
      <c r="F347" s="9"/>
      <c r="G347" s="6"/>
      <c r="H347" s="6"/>
      <c r="I347" s="6"/>
    </row>
    <row r="348" customFormat="false" ht="15" hidden="false" customHeight="false" outlineLevel="0" collapsed="false">
      <c r="A348" s="6"/>
      <c r="B348" s="10"/>
      <c r="C348" s="6"/>
      <c r="D348" s="14" t="str">
        <f aca="false">IF(C348="","",IFERROR(INDEX(Pacientes!$Q:$Q,MATCH(C348,Pacientes!$A:$A,0)),"ID no existe"))</f>
        <v/>
      </c>
      <c r="E348" s="15" t="str">
        <f aca="false">IF(B348="","",DATE(YEAR(B348),MONTH(B348),1))</f>
        <v/>
      </c>
      <c r="F348" s="9"/>
      <c r="G348" s="6"/>
      <c r="H348" s="6"/>
      <c r="I348" s="6"/>
    </row>
    <row r="349" customFormat="false" ht="15" hidden="false" customHeight="false" outlineLevel="0" collapsed="false">
      <c r="A349" s="6"/>
      <c r="B349" s="10"/>
      <c r="C349" s="6"/>
      <c r="D349" s="14" t="str">
        <f aca="false">IF(C349="","",IFERROR(INDEX(Pacientes!$Q:$Q,MATCH(C349,Pacientes!$A:$A,0)),"ID no existe"))</f>
        <v/>
      </c>
      <c r="E349" s="15" t="str">
        <f aca="false">IF(B349="","",DATE(YEAR(B349),MONTH(B349),1))</f>
        <v/>
      </c>
      <c r="F349" s="9"/>
      <c r="G349" s="6"/>
      <c r="H349" s="6"/>
      <c r="I349" s="6"/>
    </row>
    <row r="350" customFormat="false" ht="15" hidden="false" customHeight="false" outlineLevel="0" collapsed="false">
      <c r="A350" s="6"/>
      <c r="B350" s="10"/>
      <c r="C350" s="6"/>
      <c r="D350" s="14" t="str">
        <f aca="false">IF(C350="","",IFERROR(INDEX(Pacientes!$Q:$Q,MATCH(C350,Pacientes!$A:$A,0)),"ID no existe"))</f>
        <v/>
      </c>
      <c r="E350" s="15" t="str">
        <f aca="false">IF(B350="","",DATE(YEAR(B350),MONTH(B350),1))</f>
        <v/>
      </c>
      <c r="F350" s="9"/>
      <c r="G350" s="6"/>
      <c r="H350" s="6"/>
      <c r="I350" s="6"/>
    </row>
    <row r="351" customFormat="false" ht="15" hidden="false" customHeight="false" outlineLevel="0" collapsed="false">
      <c r="A351" s="6"/>
      <c r="B351" s="10"/>
      <c r="C351" s="6"/>
      <c r="D351" s="14" t="str">
        <f aca="false">IF(C351="","",IFERROR(INDEX(Pacientes!$Q:$Q,MATCH(C351,Pacientes!$A:$A,0)),"ID no existe"))</f>
        <v/>
      </c>
      <c r="E351" s="15" t="str">
        <f aca="false">IF(B351="","",DATE(YEAR(B351),MONTH(B351),1))</f>
        <v/>
      </c>
      <c r="F351" s="9"/>
      <c r="G351" s="6"/>
      <c r="H351" s="6"/>
      <c r="I351" s="6"/>
    </row>
    <row r="352" customFormat="false" ht="15" hidden="false" customHeight="false" outlineLevel="0" collapsed="false">
      <c r="A352" s="6"/>
      <c r="B352" s="10"/>
      <c r="C352" s="6"/>
      <c r="D352" s="14" t="str">
        <f aca="false">IF(C352="","",IFERROR(INDEX(Pacientes!$Q:$Q,MATCH(C352,Pacientes!$A:$A,0)),"ID no existe"))</f>
        <v/>
      </c>
      <c r="E352" s="15" t="str">
        <f aca="false">IF(B352="","",DATE(YEAR(B352),MONTH(B352),1))</f>
        <v/>
      </c>
      <c r="F352" s="9"/>
      <c r="G352" s="6"/>
      <c r="H352" s="6"/>
      <c r="I352" s="6"/>
    </row>
    <row r="353" customFormat="false" ht="15" hidden="false" customHeight="false" outlineLevel="0" collapsed="false">
      <c r="A353" s="6"/>
      <c r="B353" s="10"/>
      <c r="C353" s="6"/>
      <c r="D353" s="14" t="str">
        <f aca="false">IF(C353="","",IFERROR(INDEX(Pacientes!$Q:$Q,MATCH(C353,Pacientes!$A:$A,0)),"ID no existe"))</f>
        <v/>
      </c>
      <c r="E353" s="15" t="str">
        <f aca="false">IF(B353="","",DATE(YEAR(B353),MONTH(B353),1))</f>
        <v/>
      </c>
      <c r="F353" s="9"/>
      <c r="G353" s="6"/>
      <c r="H353" s="6"/>
      <c r="I353" s="6"/>
    </row>
    <row r="354" customFormat="false" ht="15" hidden="false" customHeight="false" outlineLevel="0" collapsed="false">
      <c r="A354" s="6"/>
      <c r="B354" s="10"/>
      <c r="C354" s="6"/>
      <c r="D354" s="14" t="str">
        <f aca="false">IF(C354="","",IFERROR(INDEX(Pacientes!$Q:$Q,MATCH(C354,Pacientes!$A:$A,0)),"ID no existe"))</f>
        <v/>
      </c>
      <c r="E354" s="15" t="str">
        <f aca="false">IF(B354="","",DATE(YEAR(B354),MONTH(B354),1))</f>
        <v/>
      </c>
      <c r="F354" s="9"/>
      <c r="G354" s="6"/>
      <c r="H354" s="6"/>
      <c r="I354" s="6"/>
    </row>
    <row r="355" customFormat="false" ht="15" hidden="false" customHeight="false" outlineLevel="0" collapsed="false">
      <c r="A355" s="6"/>
      <c r="B355" s="10"/>
      <c r="C355" s="6"/>
      <c r="D355" s="14" t="str">
        <f aca="false">IF(C355="","",IFERROR(INDEX(Pacientes!$Q:$Q,MATCH(C355,Pacientes!$A:$A,0)),"ID no existe"))</f>
        <v/>
      </c>
      <c r="E355" s="15" t="str">
        <f aca="false">IF(B355="","",DATE(YEAR(B355),MONTH(B355),1))</f>
        <v/>
      </c>
      <c r="F355" s="9"/>
      <c r="G355" s="6"/>
      <c r="H355" s="6"/>
      <c r="I355" s="6"/>
    </row>
    <row r="356" customFormat="false" ht="15" hidden="false" customHeight="false" outlineLevel="0" collapsed="false">
      <c r="A356" s="6"/>
      <c r="B356" s="10"/>
      <c r="C356" s="6"/>
      <c r="D356" s="14" t="str">
        <f aca="false">IF(C356="","",IFERROR(INDEX(Pacientes!$Q:$Q,MATCH(C356,Pacientes!$A:$A,0)),"ID no existe"))</f>
        <v/>
      </c>
      <c r="E356" s="15" t="str">
        <f aca="false">IF(B356="","",DATE(YEAR(B356),MONTH(B356),1))</f>
        <v/>
      </c>
      <c r="F356" s="9"/>
      <c r="G356" s="6"/>
      <c r="H356" s="6"/>
      <c r="I356" s="6"/>
    </row>
    <row r="357" customFormat="false" ht="15" hidden="false" customHeight="false" outlineLevel="0" collapsed="false">
      <c r="A357" s="6"/>
      <c r="B357" s="10"/>
      <c r="C357" s="6"/>
      <c r="D357" s="14" t="str">
        <f aca="false">IF(C357="","",IFERROR(INDEX(Pacientes!$Q:$Q,MATCH(C357,Pacientes!$A:$A,0)),"ID no existe"))</f>
        <v/>
      </c>
      <c r="E357" s="15" t="str">
        <f aca="false">IF(B357="","",DATE(YEAR(B357),MONTH(B357),1))</f>
        <v/>
      </c>
      <c r="F357" s="9"/>
      <c r="G357" s="6"/>
      <c r="H357" s="6"/>
      <c r="I357" s="6"/>
    </row>
    <row r="358" customFormat="false" ht="15" hidden="false" customHeight="false" outlineLevel="0" collapsed="false">
      <c r="A358" s="6"/>
      <c r="B358" s="10"/>
      <c r="C358" s="6"/>
      <c r="D358" s="14" t="str">
        <f aca="false">IF(C358="","",IFERROR(INDEX(Pacientes!$Q:$Q,MATCH(C358,Pacientes!$A:$A,0)),"ID no existe"))</f>
        <v/>
      </c>
      <c r="E358" s="15" t="str">
        <f aca="false">IF(B358="","",DATE(YEAR(B358),MONTH(B358),1))</f>
        <v/>
      </c>
      <c r="F358" s="9"/>
      <c r="G358" s="6"/>
      <c r="H358" s="6"/>
      <c r="I358" s="6"/>
    </row>
    <row r="359" customFormat="false" ht="15" hidden="false" customHeight="false" outlineLevel="0" collapsed="false">
      <c r="A359" s="6"/>
      <c r="B359" s="10"/>
      <c r="C359" s="6"/>
      <c r="D359" s="14" t="str">
        <f aca="false">IF(C359="","",IFERROR(INDEX(Pacientes!$Q:$Q,MATCH(C359,Pacientes!$A:$A,0)),"ID no existe"))</f>
        <v/>
      </c>
      <c r="E359" s="15" t="str">
        <f aca="false">IF(B359="","",DATE(YEAR(B359),MONTH(B359),1))</f>
        <v/>
      </c>
      <c r="F359" s="9"/>
      <c r="G359" s="6"/>
      <c r="H359" s="6"/>
      <c r="I359" s="6"/>
    </row>
    <row r="360" customFormat="false" ht="15" hidden="false" customHeight="false" outlineLevel="0" collapsed="false">
      <c r="A360" s="6"/>
      <c r="B360" s="10"/>
      <c r="C360" s="6"/>
      <c r="D360" s="14" t="str">
        <f aca="false">IF(C360="","",IFERROR(INDEX(Pacientes!$Q:$Q,MATCH(C360,Pacientes!$A:$A,0)),"ID no existe"))</f>
        <v/>
      </c>
      <c r="E360" s="15" t="str">
        <f aca="false">IF(B360="","",DATE(YEAR(B360),MONTH(B360),1))</f>
        <v/>
      </c>
      <c r="F360" s="9"/>
      <c r="G360" s="6"/>
      <c r="H360" s="6"/>
      <c r="I360" s="6"/>
    </row>
    <row r="361" customFormat="false" ht="15" hidden="false" customHeight="false" outlineLevel="0" collapsed="false">
      <c r="A361" s="6"/>
      <c r="B361" s="10"/>
      <c r="C361" s="6"/>
      <c r="D361" s="14" t="str">
        <f aca="false">IF(C361="","",IFERROR(INDEX(Pacientes!$Q:$Q,MATCH(C361,Pacientes!$A:$A,0)),"ID no existe"))</f>
        <v/>
      </c>
      <c r="E361" s="15" t="str">
        <f aca="false">IF(B361="","",DATE(YEAR(B361),MONTH(B361),1))</f>
        <v/>
      </c>
      <c r="F361" s="9"/>
      <c r="G361" s="6"/>
      <c r="H361" s="6"/>
      <c r="I361" s="6"/>
    </row>
    <row r="362" customFormat="false" ht="15" hidden="false" customHeight="false" outlineLevel="0" collapsed="false">
      <c r="A362" s="6"/>
      <c r="B362" s="10"/>
      <c r="C362" s="6"/>
      <c r="D362" s="14" t="str">
        <f aca="false">IF(C362="","",IFERROR(INDEX(Pacientes!$Q:$Q,MATCH(C362,Pacientes!$A:$A,0)),"ID no existe"))</f>
        <v/>
      </c>
      <c r="E362" s="15" t="str">
        <f aca="false">IF(B362="","",DATE(YEAR(B362),MONTH(B362),1))</f>
        <v/>
      </c>
      <c r="F362" s="9"/>
      <c r="G362" s="6"/>
      <c r="H362" s="6"/>
      <c r="I362" s="6"/>
    </row>
    <row r="363" customFormat="false" ht="15" hidden="false" customHeight="false" outlineLevel="0" collapsed="false">
      <c r="A363" s="6"/>
      <c r="B363" s="10"/>
      <c r="C363" s="6"/>
      <c r="D363" s="14" t="str">
        <f aca="false">IF(C363="","",IFERROR(INDEX(Pacientes!$Q:$Q,MATCH(C363,Pacientes!$A:$A,0)),"ID no existe"))</f>
        <v/>
      </c>
      <c r="E363" s="15" t="str">
        <f aca="false">IF(B363="","",DATE(YEAR(B363),MONTH(B363),1))</f>
        <v/>
      </c>
      <c r="F363" s="9"/>
      <c r="G363" s="6"/>
      <c r="H363" s="6"/>
      <c r="I363" s="6"/>
    </row>
    <row r="364" customFormat="false" ht="15" hidden="false" customHeight="false" outlineLevel="0" collapsed="false">
      <c r="A364" s="6"/>
      <c r="B364" s="10"/>
      <c r="C364" s="6"/>
      <c r="D364" s="14" t="str">
        <f aca="false">IF(C364="","",IFERROR(INDEX(Pacientes!$Q:$Q,MATCH(C364,Pacientes!$A:$A,0)),"ID no existe"))</f>
        <v/>
      </c>
      <c r="E364" s="15" t="str">
        <f aca="false">IF(B364="","",DATE(YEAR(B364),MONTH(B364),1))</f>
        <v/>
      </c>
      <c r="F364" s="9"/>
      <c r="G364" s="6"/>
      <c r="H364" s="6"/>
      <c r="I364" s="6"/>
    </row>
    <row r="365" customFormat="false" ht="15" hidden="false" customHeight="false" outlineLevel="0" collapsed="false">
      <c r="A365" s="6"/>
      <c r="B365" s="10"/>
      <c r="C365" s="6"/>
      <c r="D365" s="14" t="str">
        <f aca="false">IF(C365="","",IFERROR(INDEX(Pacientes!$Q:$Q,MATCH(C365,Pacientes!$A:$A,0)),"ID no existe"))</f>
        <v/>
      </c>
      <c r="E365" s="15" t="str">
        <f aca="false">IF(B365="","",DATE(YEAR(B365),MONTH(B365),1))</f>
        <v/>
      </c>
      <c r="F365" s="9"/>
      <c r="G365" s="6"/>
      <c r="H365" s="6"/>
      <c r="I365" s="6"/>
    </row>
    <row r="366" customFormat="false" ht="15" hidden="false" customHeight="false" outlineLevel="0" collapsed="false">
      <c r="A366" s="6"/>
      <c r="B366" s="10"/>
      <c r="C366" s="6"/>
      <c r="D366" s="14" t="str">
        <f aca="false">IF(C366="","",IFERROR(INDEX(Pacientes!$Q:$Q,MATCH(C366,Pacientes!$A:$A,0)),"ID no existe"))</f>
        <v/>
      </c>
      <c r="E366" s="15" t="str">
        <f aca="false">IF(B366="","",DATE(YEAR(B366),MONTH(B366),1))</f>
        <v/>
      </c>
      <c r="F366" s="9"/>
      <c r="G366" s="6"/>
      <c r="H366" s="6"/>
      <c r="I366" s="6"/>
    </row>
    <row r="367" customFormat="false" ht="15" hidden="false" customHeight="false" outlineLevel="0" collapsed="false">
      <c r="A367" s="6"/>
      <c r="B367" s="10"/>
      <c r="C367" s="6"/>
      <c r="D367" s="14" t="str">
        <f aca="false">IF(C367="","",IFERROR(INDEX(Pacientes!$Q:$Q,MATCH(C367,Pacientes!$A:$A,0)),"ID no existe"))</f>
        <v/>
      </c>
      <c r="E367" s="15" t="str">
        <f aca="false">IF(B367="","",DATE(YEAR(B367),MONTH(B367),1))</f>
        <v/>
      </c>
      <c r="F367" s="9"/>
      <c r="G367" s="6"/>
      <c r="H367" s="6"/>
      <c r="I367" s="6"/>
    </row>
    <row r="368" customFormat="false" ht="15" hidden="false" customHeight="false" outlineLevel="0" collapsed="false">
      <c r="A368" s="6"/>
      <c r="B368" s="10"/>
      <c r="C368" s="6"/>
      <c r="D368" s="14" t="str">
        <f aca="false">IF(C368="","",IFERROR(INDEX(Pacientes!$Q:$Q,MATCH(C368,Pacientes!$A:$A,0)),"ID no existe"))</f>
        <v/>
      </c>
      <c r="E368" s="15" t="str">
        <f aca="false">IF(B368="","",DATE(YEAR(B368),MONTH(B368),1))</f>
        <v/>
      </c>
      <c r="F368" s="9"/>
      <c r="G368" s="6"/>
      <c r="H368" s="6"/>
      <c r="I368" s="6"/>
    </row>
    <row r="369" customFormat="false" ht="15" hidden="false" customHeight="false" outlineLevel="0" collapsed="false">
      <c r="A369" s="6"/>
      <c r="B369" s="10"/>
      <c r="C369" s="6"/>
      <c r="D369" s="14" t="str">
        <f aca="false">IF(C369="","",IFERROR(INDEX(Pacientes!$Q:$Q,MATCH(C369,Pacientes!$A:$A,0)),"ID no existe"))</f>
        <v/>
      </c>
      <c r="E369" s="15" t="str">
        <f aca="false">IF(B369="","",DATE(YEAR(B369),MONTH(B369),1))</f>
        <v/>
      </c>
      <c r="F369" s="9"/>
      <c r="G369" s="6"/>
      <c r="H369" s="6"/>
      <c r="I369" s="6"/>
    </row>
    <row r="370" customFormat="false" ht="15" hidden="false" customHeight="false" outlineLevel="0" collapsed="false">
      <c r="A370" s="6"/>
      <c r="B370" s="10"/>
      <c r="C370" s="6"/>
      <c r="D370" s="14" t="str">
        <f aca="false">IF(C370="","",IFERROR(INDEX(Pacientes!$Q:$Q,MATCH(C370,Pacientes!$A:$A,0)),"ID no existe"))</f>
        <v/>
      </c>
      <c r="E370" s="15" t="str">
        <f aca="false">IF(B370="","",DATE(YEAR(B370),MONTH(B370),1))</f>
        <v/>
      </c>
      <c r="F370" s="9"/>
      <c r="G370" s="6"/>
      <c r="H370" s="6"/>
      <c r="I370" s="6"/>
    </row>
    <row r="371" customFormat="false" ht="15" hidden="false" customHeight="false" outlineLevel="0" collapsed="false">
      <c r="A371" s="6"/>
      <c r="B371" s="10"/>
      <c r="C371" s="6"/>
      <c r="D371" s="14" t="str">
        <f aca="false">IF(C371="","",IFERROR(INDEX(Pacientes!$Q:$Q,MATCH(C371,Pacientes!$A:$A,0)),"ID no existe"))</f>
        <v/>
      </c>
      <c r="E371" s="15" t="str">
        <f aca="false">IF(B371="","",DATE(YEAR(B371),MONTH(B371),1))</f>
        <v/>
      </c>
      <c r="F371" s="9"/>
      <c r="G371" s="6"/>
      <c r="H371" s="6"/>
      <c r="I371" s="6"/>
    </row>
    <row r="372" customFormat="false" ht="15" hidden="false" customHeight="false" outlineLevel="0" collapsed="false">
      <c r="A372" s="6"/>
      <c r="B372" s="10"/>
      <c r="C372" s="6"/>
      <c r="D372" s="14" t="str">
        <f aca="false">IF(C372="","",IFERROR(INDEX(Pacientes!$Q:$Q,MATCH(C372,Pacientes!$A:$A,0)),"ID no existe"))</f>
        <v/>
      </c>
      <c r="E372" s="15" t="str">
        <f aca="false">IF(B372="","",DATE(YEAR(B372),MONTH(B372),1))</f>
        <v/>
      </c>
      <c r="F372" s="9"/>
      <c r="G372" s="6"/>
      <c r="H372" s="6"/>
      <c r="I372" s="6"/>
    </row>
    <row r="373" customFormat="false" ht="15" hidden="false" customHeight="false" outlineLevel="0" collapsed="false">
      <c r="A373" s="6"/>
      <c r="B373" s="10"/>
      <c r="C373" s="6"/>
      <c r="D373" s="14" t="str">
        <f aca="false">IF(C373="","",IFERROR(INDEX(Pacientes!$Q:$Q,MATCH(C373,Pacientes!$A:$A,0)),"ID no existe"))</f>
        <v/>
      </c>
      <c r="E373" s="15" t="str">
        <f aca="false">IF(B373="","",DATE(YEAR(B373),MONTH(B373),1))</f>
        <v/>
      </c>
      <c r="F373" s="9"/>
      <c r="G373" s="6"/>
      <c r="H373" s="6"/>
      <c r="I373" s="6"/>
    </row>
    <row r="374" customFormat="false" ht="15" hidden="false" customHeight="false" outlineLevel="0" collapsed="false">
      <c r="A374" s="6"/>
      <c r="B374" s="10"/>
      <c r="C374" s="6"/>
      <c r="D374" s="14" t="str">
        <f aca="false">IF(C374="","",IFERROR(INDEX(Pacientes!$Q:$Q,MATCH(C374,Pacientes!$A:$A,0)),"ID no existe"))</f>
        <v/>
      </c>
      <c r="E374" s="15" t="str">
        <f aca="false">IF(B374="","",DATE(YEAR(B374),MONTH(B374),1))</f>
        <v/>
      </c>
      <c r="F374" s="9"/>
      <c r="G374" s="6"/>
      <c r="H374" s="6"/>
      <c r="I374" s="6"/>
    </row>
    <row r="375" customFormat="false" ht="15" hidden="false" customHeight="false" outlineLevel="0" collapsed="false">
      <c r="A375" s="6"/>
      <c r="B375" s="10"/>
      <c r="C375" s="6"/>
      <c r="D375" s="14" t="str">
        <f aca="false">IF(C375="","",IFERROR(INDEX(Pacientes!$Q:$Q,MATCH(C375,Pacientes!$A:$A,0)),"ID no existe"))</f>
        <v/>
      </c>
      <c r="E375" s="15" t="str">
        <f aca="false">IF(B375="","",DATE(YEAR(B375),MONTH(B375),1))</f>
        <v/>
      </c>
      <c r="F375" s="9"/>
      <c r="G375" s="6"/>
      <c r="H375" s="6"/>
      <c r="I375" s="6"/>
    </row>
    <row r="376" customFormat="false" ht="15" hidden="false" customHeight="false" outlineLevel="0" collapsed="false">
      <c r="A376" s="6"/>
      <c r="B376" s="10"/>
      <c r="C376" s="6"/>
      <c r="D376" s="14" t="str">
        <f aca="false">IF(C376="","",IFERROR(INDEX(Pacientes!$Q:$Q,MATCH(C376,Pacientes!$A:$A,0)),"ID no existe"))</f>
        <v/>
      </c>
      <c r="E376" s="15" t="str">
        <f aca="false">IF(B376="","",DATE(YEAR(B376),MONTH(B376),1))</f>
        <v/>
      </c>
      <c r="F376" s="9"/>
      <c r="G376" s="6"/>
      <c r="H376" s="6"/>
      <c r="I376" s="6"/>
    </row>
    <row r="377" customFormat="false" ht="15" hidden="false" customHeight="false" outlineLevel="0" collapsed="false">
      <c r="A377" s="6"/>
      <c r="B377" s="10"/>
      <c r="C377" s="6"/>
      <c r="D377" s="14" t="str">
        <f aca="false">IF(C377="","",IFERROR(INDEX(Pacientes!$Q:$Q,MATCH(C377,Pacientes!$A:$A,0)),"ID no existe"))</f>
        <v/>
      </c>
      <c r="E377" s="15" t="str">
        <f aca="false">IF(B377="","",DATE(YEAR(B377),MONTH(B377),1))</f>
        <v/>
      </c>
      <c r="F377" s="9"/>
      <c r="G377" s="6"/>
      <c r="H377" s="6"/>
      <c r="I377" s="6"/>
    </row>
    <row r="378" customFormat="false" ht="15" hidden="false" customHeight="false" outlineLevel="0" collapsed="false">
      <c r="A378" s="6"/>
      <c r="B378" s="10"/>
      <c r="C378" s="6"/>
      <c r="D378" s="14" t="str">
        <f aca="false">IF(C378="","",IFERROR(INDEX(Pacientes!$Q:$Q,MATCH(C378,Pacientes!$A:$A,0)),"ID no existe"))</f>
        <v/>
      </c>
      <c r="E378" s="15" t="str">
        <f aca="false">IF(B378="","",DATE(YEAR(B378),MONTH(B378),1))</f>
        <v/>
      </c>
      <c r="F378" s="9"/>
      <c r="G378" s="6"/>
      <c r="H378" s="6"/>
      <c r="I378" s="6"/>
    </row>
    <row r="379" customFormat="false" ht="15" hidden="false" customHeight="false" outlineLevel="0" collapsed="false">
      <c r="A379" s="6"/>
      <c r="B379" s="10"/>
      <c r="C379" s="6"/>
      <c r="D379" s="14" t="str">
        <f aca="false">IF(C379="","",IFERROR(INDEX(Pacientes!$Q:$Q,MATCH(C379,Pacientes!$A:$A,0)),"ID no existe"))</f>
        <v/>
      </c>
      <c r="E379" s="15" t="str">
        <f aca="false">IF(B379="","",DATE(YEAR(B379),MONTH(B379),1))</f>
        <v/>
      </c>
      <c r="F379" s="9"/>
      <c r="G379" s="6"/>
      <c r="H379" s="6"/>
      <c r="I379" s="6"/>
    </row>
    <row r="380" customFormat="false" ht="15" hidden="false" customHeight="false" outlineLevel="0" collapsed="false">
      <c r="A380" s="6"/>
      <c r="B380" s="10"/>
      <c r="C380" s="6"/>
      <c r="D380" s="14" t="str">
        <f aca="false">IF(C380="","",IFERROR(INDEX(Pacientes!$Q:$Q,MATCH(C380,Pacientes!$A:$A,0)),"ID no existe"))</f>
        <v/>
      </c>
      <c r="E380" s="15" t="str">
        <f aca="false">IF(B380="","",DATE(YEAR(B380),MONTH(B380),1))</f>
        <v/>
      </c>
      <c r="F380" s="9"/>
      <c r="G380" s="6"/>
      <c r="H380" s="6"/>
      <c r="I380" s="6"/>
    </row>
    <row r="381" customFormat="false" ht="15" hidden="false" customHeight="false" outlineLevel="0" collapsed="false">
      <c r="A381" s="6"/>
      <c r="B381" s="10"/>
      <c r="C381" s="6"/>
      <c r="D381" s="14" t="str">
        <f aca="false">IF(C381="","",IFERROR(INDEX(Pacientes!$Q:$Q,MATCH(C381,Pacientes!$A:$A,0)),"ID no existe"))</f>
        <v/>
      </c>
      <c r="E381" s="15" t="str">
        <f aca="false">IF(B381="","",DATE(YEAR(B381),MONTH(B381),1))</f>
        <v/>
      </c>
      <c r="F381" s="9"/>
      <c r="G381" s="6"/>
      <c r="H381" s="6"/>
      <c r="I381" s="6"/>
    </row>
    <row r="382" customFormat="false" ht="15" hidden="false" customHeight="false" outlineLevel="0" collapsed="false">
      <c r="A382" s="6"/>
      <c r="B382" s="10"/>
      <c r="C382" s="6"/>
      <c r="D382" s="14" t="str">
        <f aca="false">IF(C382="","",IFERROR(INDEX(Pacientes!$Q:$Q,MATCH(C382,Pacientes!$A:$A,0)),"ID no existe"))</f>
        <v/>
      </c>
      <c r="E382" s="15" t="str">
        <f aca="false">IF(B382="","",DATE(YEAR(B382),MONTH(B382),1))</f>
        <v/>
      </c>
      <c r="F382" s="9"/>
      <c r="G382" s="6"/>
      <c r="H382" s="6"/>
      <c r="I382" s="6"/>
    </row>
    <row r="383" customFormat="false" ht="15" hidden="false" customHeight="false" outlineLevel="0" collapsed="false">
      <c r="A383" s="6"/>
      <c r="B383" s="10"/>
      <c r="C383" s="6"/>
      <c r="D383" s="14" t="str">
        <f aca="false">IF(C383="","",IFERROR(INDEX(Pacientes!$Q:$Q,MATCH(C383,Pacientes!$A:$A,0)),"ID no existe"))</f>
        <v/>
      </c>
      <c r="E383" s="15" t="str">
        <f aca="false">IF(B383="","",DATE(YEAR(B383),MONTH(B383),1))</f>
        <v/>
      </c>
      <c r="F383" s="9"/>
      <c r="G383" s="6"/>
      <c r="H383" s="6"/>
      <c r="I383" s="6"/>
    </row>
    <row r="384" customFormat="false" ht="15" hidden="false" customHeight="false" outlineLevel="0" collapsed="false">
      <c r="A384" s="6"/>
      <c r="B384" s="10"/>
      <c r="C384" s="6"/>
      <c r="D384" s="14" t="str">
        <f aca="false">IF(C384="","",IFERROR(INDEX(Pacientes!$Q:$Q,MATCH(C384,Pacientes!$A:$A,0)),"ID no existe"))</f>
        <v/>
      </c>
      <c r="E384" s="15" t="str">
        <f aca="false">IF(B384="","",DATE(YEAR(B384),MONTH(B384),1))</f>
        <v/>
      </c>
      <c r="F384" s="9"/>
      <c r="G384" s="6"/>
      <c r="H384" s="6"/>
      <c r="I384" s="6"/>
    </row>
    <row r="385" customFormat="false" ht="15" hidden="false" customHeight="false" outlineLevel="0" collapsed="false">
      <c r="A385" s="6"/>
      <c r="B385" s="10"/>
      <c r="C385" s="6"/>
      <c r="D385" s="14" t="str">
        <f aca="false">IF(C385="","",IFERROR(INDEX(Pacientes!$Q:$Q,MATCH(C385,Pacientes!$A:$A,0)),"ID no existe"))</f>
        <v/>
      </c>
      <c r="E385" s="15" t="str">
        <f aca="false">IF(B385="","",DATE(YEAR(B385),MONTH(B385),1))</f>
        <v/>
      </c>
      <c r="F385" s="9"/>
      <c r="G385" s="6"/>
      <c r="H385" s="6"/>
      <c r="I385" s="6"/>
    </row>
    <row r="386" customFormat="false" ht="15" hidden="false" customHeight="false" outlineLevel="0" collapsed="false">
      <c r="A386" s="6"/>
      <c r="B386" s="10"/>
      <c r="C386" s="6"/>
      <c r="D386" s="14" t="str">
        <f aca="false">IF(C386="","",IFERROR(INDEX(Pacientes!$Q:$Q,MATCH(C386,Pacientes!$A:$A,0)),"ID no existe"))</f>
        <v/>
      </c>
      <c r="E386" s="15" t="str">
        <f aca="false">IF(B386="","",DATE(YEAR(B386),MONTH(B386),1))</f>
        <v/>
      </c>
      <c r="F386" s="9"/>
      <c r="G386" s="6"/>
      <c r="H386" s="6"/>
      <c r="I386" s="6"/>
    </row>
    <row r="387" customFormat="false" ht="15" hidden="false" customHeight="false" outlineLevel="0" collapsed="false">
      <c r="A387" s="6"/>
      <c r="B387" s="10"/>
      <c r="C387" s="6"/>
      <c r="D387" s="14" t="str">
        <f aca="false">IF(C387="","",IFERROR(INDEX(Pacientes!$Q:$Q,MATCH(C387,Pacientes!$A:$A,0)),"ID no existe"))</f>
        <v/>
      </c>
      <c r="E387" s="15" t="str">
        <f aca="false">IF(B387="","",DATE(YEAR(B387),MONTH(B387),1))</f>
        <v/>
      </c>
      <c r="F387" s="9"/>
      <c r="G387" s="6"/>
      <c r="H387" s="6"/>
      <c r="I387" s="6"/>
    </row>
    <row r="388" customFormat="false" ht="15" hidden="false" customHeight="false" outlineLevel="0" collapsed="false">
      <c r="A388" s="6"/>
      <c r="B388" s="10"/>
      <c r="C388" s="6"/>
      <c r="D388" s="14" t="str">
        <f aca="false">IF(C388="","",IFERROR(INDEX(Pacientes!$Q:$Q,MATCH(C388,Pacientes!$A:$A,0)),"ID no existe"))</f>
        <v/>
      </c>
      <c r="E388" s="15" t="str">
        <f aca="false">IF(B388="","",DATE(YEAR(B388),MONTH(B388),1))</f>
        <v/>
      </c>
      <c r="F388" s="9"/>
      <c r="G388" s="6"/>
      <c r="H388" s="6"/>
      <c r="I388" s="6"/>
    </row>
    <row r="389" customFormat="false" ht="15" hidden="false" customHeight="false" outlineLevel="0" collapsed="false">
      <c r="A389" s="6"/>
      <c r="B389" s="10"/>
      <c r="C389" s="6"/>
      <c r="D389" s="14" t="str">
        <f aca="false">IF(C389="","",IFERROR(INDEX(Pacientes!$Q:$Q,MATCH(C389,Pacientes!$A:$A,0)),"ID no existe"))</f>
        <v/>
      </c>
      <c r="E389" s="15" t="str">
        <f aca="false">IF(B389="","",DATE(YEAR(B389),MONTH(B389),1))</f>
        <v/>
      </c>
      <c r="F389" s="9"/>
      <c r="G389" s="6"/>
      <c r="H389" s="6"/>
      <c r="I389" s="6"/>
    </row>
    <row r="390" customFormat="false" ht="15" hidden="false" customHeight="false" outlineLevel="0" collapsed="false">
      <c r="A390" s="6"/>
      <c r="B390" s="10"/>
      <c r="C390" s="6"/>
      <c r="D390" s="14" t="str">
        <f aca="false">IF(C390="","",IFERROR(INDEX(Pacientes!$Q:$Q,MATCH(C390,Pacientes!$A:$A,0)),"ID no existe"))</f>
        <v/>
      </c>
      <c r="E390" s="15" t="str">
        <f aca="false">IF(B390="","",DATE(YEAR(B390),MONTH(B390),1))</f>
        <v/>
      </c>
      <c r="F390" s="9"/>
      <c r="G390" s="6"/>
      <c r="H390" s="6"/>
      <c r="I390" s="6"/>
    </row>
    <row r="391" customFormat="false" ht="15" hidden="false" customHeight="false" outlineLevel="0" collapsed="false">
      <c r="A391" s="6"/>
      <c r="B391" s="10"/>
      <c r="C391" s="6"/>
      <c r="D391" s="14" t="str">
        <f aca="false">IF(C391="","",IFERROR(INDEX(Pacientes!$Q:$Q,MATCH(C391,Pacientes!$A:$A,0)),"ID no existe"))</f>
        <v/>
      </c>
      <c r="E391" s="15" t="str">
        <f aca="false">IF(B391="","",DATE(YEAR(B391),MONTH(B391),1))</f>
        <v/>
      </c>
      <c r="F391" s="9"/>
      <c r="G391" s="6"/>
      <c r="H391" s="6"/>
      <c r="I391" s="6"/>
    </row>
    <row r="392" customFormat="false" ht="15" hidden="false" customHeight="false" outlineLevel="0" collapsed="false">
      <c r="A392" s="6"/>
      <c r="B392" s="10"/>
      <c r="C392" s="6"/>
      <c r="D392" s="14" t="str">
        <f aca="false">IF(C392="","",IFERROR(INDEX(Pacientes!$Q:$Q,MATCH(C392,Pacientes!$A:$A,0)),"ID no existe"))</f>
        <v/>
      </c>
      <c r="E392" s="15" t="str">
        <f aca="false">IF(B392="","",DATE(YEAR(B392),MONTH(B392),1))</f>
        <v/>
      </c>
      <c r="F392" s="9"/>
      <c r="G392" s="6"/>
      <c r="H392" s="6"/>
      <c r="I392" s="6"/>
    </row>
    <row r="393" customFormat="false" ht="15" hidden="false" customHeight="false" outlineLevel="0" collapsed="false">
      <c r="A393" s="6"/>
      <c r="B393" s="10"/>
      <c r="C393" s="6"/>
      <c r="D393" s="14" t="str">
        <f aca="false">IF(C393="","",IFERROR(INDEX(Pacientes!$Q:$Q,MATCH(C393,Pacientes!$A:$A,0)),"ID no existe"))</f>
        <v/>
      </c>
      <c r="E393" s="15" t="str">
        <f aca="false">IF(B393="","",DATE(YEAR(B393),MONTH(B393),1))</f>
        <v/>
      </c>
      <c r="F393" s="9"/>
      <c r="G393" s="6"/>
      <c r="H393" s="6"/>
      <c r="I393" s="6"/>
    </row>
    <row r="394" customFormat="false" ht="15" hidden="false" customHeight="false" outlineLevel="0" collapsed="false">
      <c r="A394" s="6"/>
      <c r="B394" s="10"/>
      <c r="C394" s="6"/>
      <c r="D394" s="14" t="str">
        <f aca="false">IF(C394="","",IFERROR(INDEX(Pacientes!$Q:$Q,MATCH(C394,Pacientes!$A:$A,0)),"ID no existe"))</f>
        <v/>
      </c>
      <c r="E394" s="15" t="str">
        <f aca="false">IF(B394="","",DATE(YEAR(B394),MONTH(B394),1))</f>
        <v/>
      </c>
      <c r="F394" s="9"/>
      <c r="G394" s="6"/>
      <c r="H394" s="6"/>
      <c r="I394" s="6"/>
    </row>
    <row r="395" customFormat="false" ht="15" hidden="false" customHeight="false" outlineLevel="0" collapsed="false">
      <c r="A395" s="6"/>
      <c r="B395" s="10"/>
      <c r="C395" s="6"/>
      <c r="D395" s="14" t="str">
        <f aca="false">IF(C395="","",IFERROR(INDEX(Pacientes!$Q:$Q,MATCH(C395,Pacientes!$A:$A,0)),"ID no existe"))</f>
        <v/>
      </c>
      <c r="E395" s="15" t="str">
        <f aca="false">IF(B395="","",DATE(YEAR(B395),MONTH(B395),1))</f>
        <v/>
      </c>
      <c r="F395" s="9"/>
      <c r="G395" s="6"/>
      <c r="H395" s="6"/>
      <c r="I395" s="6"/>
    </row>
    <row r="396" customFormat="false" ht="15" hidden="false" customHeight="false" outlineLevel="0" collapsed="false">
      <c r="A396" s="6"/>
      <c r="B396" s="10"/>
      <c r="C396" s="6"/>
      <c r="D396" s="14" t="str">
        <f aca="false">IF(C396="","",IFERROR(INDEX(Pacientes!$Q:$Q,MATCH(C396,Pacientes!$A:$A,0)),"ID no existe"))</f>
        <v/>
      </c>
      <c r="E396" s="15" t="str">
        <f aca="false">IF(B396="","",DATE(YEAR(B396),MONTH(B396),1))</f>
        <v/>
      </c>
      <c r="F396" s="9"/>
      <c r="G396" s="6"/>
      <c r="H396" s="6"/>
      <c r="I396" s="6"/>
    </row>
    <row r="397" customFormat="false" ht="15" hidden="false" customHeight="false" outlineLevel="0" collapsed="false">
      <c r="A397" s="6"/>
      <c r="B397" s="10"/>
      <c r="C397" s="6"/>
      <c r="D397" s="14" t="str">
        <f aca="false">IF(C397="","",IFERROR(INDEX(Pacientes!$Q:$Q,MATCH(C397,Pacientes!$A:$A,0)),"ID no existe"))</f>
        <v/>
      </c>
      <c r="E397" s="15" t="str">
        <f aca="false">IF(B397="","",DATE(YEAR(B397),MONTH(B397),1))</f>
        <v/>
      </c>
      <c r="F397" s="9"/>
      <c r="G397" s="6"/>
      <c r="H397" s="6"/>
      <c r="I397" s="6"/>
    </row>
    <row r="398" customFormat="false" ht="15" hidden="false" customHeight="false" outlineLevel="0" collapsed="false">
      <c r="A398" s="6"/>
      <c r="B398" s="10"/>
      <c r="C398" s="6"/>
      <c r="D398" s="14" t="str">
        <f aca="false">IF(C398="","",IFERROR(INDEX(Pacientes!$Q:$Q,MATCH(C398,Pacientes!$A:$A,0)),"ID no existe"))</f>
        <v/>
      </c>
      <c r="E398" s="15" t="str">
        <f aca="false">IF(B398="","",DATE(YEAR(B398),MONTH(B398),1))</f>
        <v/>
      </c>
      <c r="F398" s="9"/>
      <c r="G398" s="6"/>
      <c r="H398" s="6"/>
      <c r="I398" s="6"/>
    </row>
    <row r="399" customFormat="false" ht="15" hidden="false" customHeight="false" outlineLevel="0" collapsed="false">
      <c r="A399" s="6"/>
      <c r="B399" s="10"/>
      <c r="C399" s="6"/>
      <c r="D399" s="14" t="str">
        <f aca="false">IF(C399="","",IFERROR(INDEX(Pacientes!$Q:$Q,MATCH(C399,Pacientes!$A:$A,0)),"ID no existe"))</f>
        <v/>
      </c>
      <c r="E399" s="15" t="str">
        <f aca="false">IF(B399="","",DATE(YEAR(B399),MONTH(B399),1))</f>
        <v/>
      </c>
      <c r="F399" s="9"/>
      <c r="G399" s="6"/>
      <c r="H399" s="6"/>
      <c r="I399" s="6"/>
    </row>
    <row r="400" customFormat="false" ht="15" hidden="false" customHeight="false" outlineLevel="0" collapsed="false">
      <c r="A400" s="6"/>
      <c r="B400" s="10"/>
      <c r="C400" s="6"/>
      <c r="D400" s="14" t="str">
        <f aca="false">IF(C400="","",IFERROR(INDEX(Pacientes!$Q:$Q,MATCH(C400,Pacientes!$A:$A,0)),"ID no existe"))</f>
        <v/>
      </c>
      <c r="E400" s="15" t="str">
        <f aca="false">IF(B400="","",DATE(YEAR(B400),MONTH(B400),1))</f>
        <v/>
      </c>
      <c r="F400" s="9"/>
      <c r="G400" s="6"/>
      <c r="H400" s="6"/>
      <c r="I400" s="6"/>
    </row>
    <row r="401" customFormat="false" ht="15" hidden="false" customHeight="false" outlineLevel="0" collapsed="false">
      <c r="A401" s="6"/>
      <c r="B401" s="10"/>
      <c r="C401" s="6"/>
      <c r="D401" s="14" t="str">
        <f aca="false">IF(C401="","",IFERROR(INDEX(Pacientes!$Q:$Q,MATCH(C401,Pacientes!$A:$A,0)),"ID no existe"))</f>
        <v/>
      </c>
      <c r="E401" s="15" t="str">
        <f aca="false">IF(B401="","",DATE(YEAR(B401),MONTH(B401),1))</f>
        <v/>
      </c>
      <c r="F401" s="9"/>
      <c r="G401" s="6"/>
      <c r="H401" s="6"/>
      <c r="I401" s="6"/>
    </row>
    <row r="402" customFormat="false" ht="15" hidden="false" customHeight="false" outlineLevel="0" collapsed="false">
      <c r="A402" s="6"/>
      <c r="B402" s="10"/>
      <c r="C402" s="6"/>
      <c r="D402" s="14" t="str">
        <f aca="false">IF(C402="","",IFERROR(INDEX(Pacientes!$Q:$Q,MATCH(C402,Pacientes!$A:$A,0)),"ID no existe"))</f>
        <v/>
      </c>
      <c r="E402" s="15" t="str">
        <f aca="false">IF(B402="","",DATE(YEAR(B402),MONTH(B402),1))</f>
        <v/>
      </c>
      <c r="F402" s="9"/>
      <c r="G402" s="6"/>
      <c r="H402" s="6"/>
      <c r="I402" s="6"/>
    </row>
    <row r="403" customFormat="false" ht="15" hidden="false" customHeight="false" outlineLevel="0" collapsed="false">
      <c r="A403" s="6"/>
      <c r="B403" s="10"/>
      <c r="C403" s="6"/>
      <c r="D403" s="14" t="str">
        <f aca="false">IF(C403="","",IFERROR(INDEX(Pacientes!$Q:$Q,MATCH(C403,Pacientes!$A:$A,0)),"ID no existe"))</f>
        <v/>
      </c>
      <c r="E403" s="15" t="str">
        <f aca="false">IF(B403="","",DATE(YEAR(B403),MONTH(B403),1))</f>
        <v/>
      </c>
      <c r="F403" s="9"/>
      <c r="G403" s="6"/>
      <c r="H403" s="6"/>
      <c r="I403" s="6"/>
    </row>
    <row r="404" customFormat="false" ht="15" hidden="false" customHeight="false" outlineLevel="0" collapsed="false">
      <c r="A404" s="6"/>
      <c r="B404" s="10"/>
      <c r="C404" s="6"/>
      <c r="D404" s="14" t="str">
        <f aca="false">IF(C404="","",IFERROR(INDEX(Pacientes!$Q:$Q,MATCH(C404,Pacientes!$A:$A,0)),"ID no existe"))</f>
        <v/>
      </c>
      <c r="E404" s="15" t="str">
        <f aca="false">IF(B404="","",DATE(YEAR(B404),MONTH(B404),1))</f>
        <v/>
      </c>
      <c r="F404" s="9"/>
      <c r="G404" s="6"/>
      <c r="H404" s="6"/>
      <c r="I404" s="6"/>
    </row>
    <row r="405" customFormat="false" ht="15" hidden="false" customHeight="false" outlineLevel="0" collapsed="false">
      <c r="A405" s="6"/>
      <c r="B405" s="10"/>
      <c r="C405" s="6"/>
      <c r="D405" s="14" t="str">
        <f aca="false">IF(C405="","",IFERROR(INDEX(Pacientes!$Q:$Q,MATCH(C405,Pacientes!$A:$A,0)),"ID no existe"))</f>
        <v/>
      </c>
      <c r="E405" s="15" t="str">
        <f aca="false">IF(B405="","",DATE(YEAR(B405),MONTH(B405),1))</f>
        <v/>
      </c>
      <c r="F405" s="9"/>
      <c r="G405" s="6"/>
      <c r="H405" s="6"/>
      <c r="I405" s="6"/>
    </row>
    <row r="406" customFormat="false" ht="15" hidden="false" customHeight="false" outlineLevel="0" collapsed="false">
      <c r="A406" s="6"/>
      <c r="B406" s="10"/>
      <c r="C406" s="6"/>
      <c r="D406" s="14" t="str">
        <f aca="false">IF(C406="","",IFERROR(INDEX(Pacientes!$Q:$Q,MATCH(C406,Pacientes!$A:$A,0)),"ID no existe"))</f>
        <v/>
      </c>
      <c r="E406" s="15" t="str">
        <f aca="false">IF(B406="","",DATE(YEAR(B406),MONTH(B406),1))</f>
        <v/>
      </c>
      <c r="F406" s="9"/>
      <c r="G406" s="6"/>
      <c r="H406" s="6"/>
      <c r="I406" s="6"/>
    </row>
    <row r="407" customFormat="false" ht="15" hidden="false" customHeight="false" outlineLevel="0" collapsed="false">
      <c r="A407" s="6"/>
      <c r="B407" s="10"/>
      <c r="C407" s="6"/>
      <c r="D407" s="14" t="str">
        <f aca="false">IF(C407="","",IFERROR(INDEX(Pacientes!$Q:$Q,MATCH(C407,Pacientes!$A:$A,0)),"ID no existe"))</f>
        <v/>
      </c>
      <c r="E407" s="15" t="str">
        <f aca="false">IF(B407="","",DATE(YEAR(B407),MONTH(B407),1))</f>
        <v/>
      </c>
      <c r="F407" s="9"/>
      <c r="G407" s="6"/>
      <c r="H407" s="6"/>
      <c r="I407" s="6"/>
    </row>
    <row r="408" customFormat="false" ht="15" hidden="false" customHeight="false" outlineLevel="0" collapsed="false">
      <c r="A408" s="6"/>
      <c r="B408" s="10"/>
      <c r="C408" s="6"/>
      <c r="D408" s="14" t="str">
        <f aca="false">IF(C408="","",IFERROR(INDEX(Pacientes!$Q:$Q,MATCH(C408,Pacientes!$A:$A,0)),"ID no existe"))</f>
        <v/>
      </c>
      <c r="E408" s="15" t="str">
        <f aca="false">IF(B408="","",DATE(YEAR(B408),MONTH(B408),1))</f>
        <v/>
      </c>
      <c r="F408" s="9"/>
      <c r="G408" s="6"/>
      <c r="H408" s="6"/>
      <c r="I408" s="6"/>
    </row>
    <row r="409" customFormat="false" ht="15" hidden="false" customHeight="false" outlineLevel="0" collapsed="false">
      <c r="A409" s="6"/>
      <c r="B409" s="10"/>
      <c r="C409" s="6"/>
      <c r="D409" s="14" t="str">
        <f aca="false">IF(C409="","",IFERROR(INDEX(Pacientes!$Q:$Q,MATCH(C409,Pacientes!$A:$A,0)),"ID no existe"))</f>
        <v/>
      </c>
      <c r="E409" s="15" t="str">
        <f aca="false">IF(B409="","",DATE(YEAR(B409),MONTH(B409),1))</f>
        <v/>
      </c>
      <c r="F409" s="9"/>
      <c r="G409" s="6"/>
      <c r="H409" s="6"/>
      <c r="I409" s="6"/>
    </row>
    <row r="410" customFormat="false" ht="15" hidden="false" customHeight="false" outlineLevel="0" collapsed="false">
      <c r="A410" s="6"/>
      <c r="B410" s="10"/>
      <c r="C410" s="6"/>
      <c r="D410" s="14" t="str">
        <f aca="false">IF(C410="","",IFERROR(INDEX(Pacientes!$Q:$Q,MATCH(C410,Pacientes!$A:$A,0)),"ID no existe"))</f>
        <v/>
      </c>
      <c r="E410" s="15" t="str">
        <f aca="false">IF(B410="","",DATE(YEAR(B410),MONTH(B410),1))</f>
        <v/>
      </c>
      <c r="F410" s="9"/>
      <c r="G410" s="6"/>
      <c r="H410" s="6"/>
      <c r="I410" s="6"/>
    </row>
    <row r="411" customFormat="false" ht="15" hidden="false" customHeight="false" outlineLevel="0" collapsed="false">
      <c r="A411" s="6"/>
      <c r="B411" s="10"/>
      <c r="C411" s="6"/>
      <c r="D411" s="14" t="str">
        <f aca="false">IF(C411="","",IFERROR(INDEX(Pacientes!$Q:$Q,MATCH(C411,Pacientes!$A:$A,0)),"ID no existe"))</f>
        <v/>
      </c>
      <c r="E411" s="15" t="str">
        <f aca="false">IF(B411="","",DATE(YEAR(B411),MONTH(B411),1))</f>
        <v/>
      </c>
      <c r="F411" s="9"/>
      <c r="G411" s="6"/>
      <c r="H411" s="6"/>
      <c r="I411" s="6"/>
    </row>
    <row r="412" customFormat="false" ht="15" hidden="false" customHeight="false" outlineLevel="0" collapsed="false">
      <c r="A412" s="6"/>
      <c r="B412" s="10"/>
      <c r="C412" s="6"/>
      <c r="D412" s="14" t="str">
        <f aca="false">IF(C412="","",IFERROR(INDEX(Pacientes!$Q:$Q,MATCH(C412,Pacientes!$A:$A,0)),"ID no existe"))</f>
        <v/>
      </c>
      <c r="E412" s="15" t="str">
        <f aca="false">IF(B412="","",DATE(YEAR(B412),MONTH(B412),1))</f>
        <v/>
      </c>
      <c r="F412" s="9"/>
      <c r="G412" s="6"/>
      <c r="H412" s="6"/>
      <c r="I412" s="6"/>
    </row>
    <row r="413" customFormat="false" ht="15" hidden="false" customHeight="false" outlineLevel="0" collapsed="false">
      <c r="A413" s="6"/>
      <c r="B413" s="10"/>
      <c r="C413" s="6"/>
      <c r="D413" s="14" t="str">
        <f aca="false">IF(C413="","",IFERROR(INDEX(Pacientes!$Q:$Q,MATCH(C413,Pacientes!$A:$A,0)),"ID no existe"))</f>
        <v/>
      </c>
      <c r="E413" s="15" t="str">
        <f aca="false">IF(B413="","",DATE(YEAR(B413),MONTH(B413),1))</f>
        <v/>
      </c>
      <c r="F413" s="9"/>
      <c r="G413" s="6"/>
      <c r="H413" s="6"/>
      <c r="I413" s="6"/>
    </row>
    <row r="414" customFormat="false" ht="15" hidden="false" customHeight="false" outlineLevel="0" collapsed="false">
      <c r="A414" s="6"/>
      <c r="B414" s="10"/>
      <c r="C414" s="6"/>
      <c r="D414" s="14" t="str">
        <f aca="false">IF(C414="","",IFERROR(INDEX(Pacientes!$Q:$Q,MATCH(C414,Pacientes!$A:$A,0)),"ID no existe"))</f>
        <v/>
      </c>
      <c r="E414" s="15" t="str">
        <f aca="false">IF(B414="","",DATE(YEAR(B414),MONTH(B414),1))</f>
        <v/>
      </c>
      <c r="F414" s="9"/>
      <c r="G414" s="6"/>
      <c r="H414" s="6"/>
      <c r="I414" s="6"/>
    </row>
    <row r="415" customFormat="false" ht="15" hidden="false" customHeight="false" outlineLevel="0" collapsed="false">
      <c r="A415" s="6"/>
      <c r="B415" s="10"/>
      <c r="C415" s="6"/>
      <c r="D415" s="14" t="str">
        <f aca="false">IF(C415="","",IFERROR(INDEX(Pacientes!$Q:$Q,MATCH(C415,Pacientes!$A:$A,0)),"ID no existe"))</f>
        <v/>
      </c>
      <c r="E415" s="15" t="str">
        <f aca="false">IF(B415="","",DATE(YEAR(B415),MONTH(B415),1))</f>
        <v/>
      </c>
      <c r="F415" s="9"/>
      <c r="G415" s="6"/>
      <c r="H415" s="6"/>
      <c r="I415" s="6"/>
    </row>
    <row r="416" customFormat="false" ht="15" hidden="false" customHeight="false" outlineLevel="0" collapsed="false">
      <c r="A416" s="6"/>
      <c r="B416" s="10"/>
      <c r="C416" s="6"/>
      <c r="D416" s="14" t="str">
        <f aca="false">IF(C416="","",IFERROR(INDEX(Pacientes!$Q:$Q,MATCH(C416,Pacientes!$A:$A,0)),"ID no existe"))</f>
        <v/>
      </c>
      <c r="E416" s="15" t="str">
        <f aca="false">IF(B416="","",DATE(YEAR(B416),MONTH(B416),1))</f>
        <v/>
      </c>
      <c r="F416" s="9"/>
      <c r="G416" s="6"/>
      <c r="H416" s="6"/>
      <c r="I416" s="6"/>
    </row>
    <row r="417" customFormat="false" ht="15" hidden="false" customHeight="false" outlineLevel="0" collapsed="false">
      <c r="A417" s="6"/>
      <c r="B417" s="10"/>
      <c r="C417" s="6"/>
      <c r="D417" s="14" t="str">
        <f aca="false">IF(C417="","",IFERROR(INDEX(Pacientes!$Q:$Q,MATCH(C417,Pacientes!$A:$A,0)),"ID no existe"))</f>
        <v/>
      </c>
      <c r="E417" s="15" t="str">
        <f aca="false">IF(B417="","",DATE(YEAR(B417),MONTH(B417),1))</f>
        <v/>
      </c>
      <c r="F417" s="9"/>
      <c r="G417" s="6"/>
      <c r="H417" s="6"/>
      <c r="I417" s="6"/>
    </row>
    <row r="418" customFormat="false" ht="15" hidden="false" customHeight="false" outlineLevel="0" collapsed="false">
      <c r="A418" s="6"/>
      <c r="B418" s="10"/>
      <c r="C418" s="6"/>
      <c r="D418" s="14" t="str">
        <f aca="false">IF(C418="","",IFERROR(INDEX(Pacientes!$Q:$Q,MATCH(C418,Pacientes!$A:$A,0)),"ID no existe"))</f>
        <v/>
      </c>
      <c r="E418" s="15" t="str">
        <f aca="false">IF(B418="","",DATE(YEAR(B418),MONTH(B418),1))</f>
        <v/>
      </c>
      <c r="F418" s="9"/>
      <c r="G418" s="6"/>
      <c r="H418" s="6"/>
      <c r="I418" s="6"/>
    </row>
    <row r="419" customFormat="false" ht="15" hidden="false" customHeight="false" outlineLevel="0" collapsed="false">
      <c r="A419" s="6"/>
      <c r="B419" s="10"/>
      <c r="C419" s="6"/>
      <c r="D419" s="14" t="str">
        <f aca="false">IF(C419="","",IFERROR(INDEX(Pacientes!$Q:$Q,MATCH(C419,Pacientes!$A:$A,0)),"ID no existe"))</f>
        <v/>
      </c>
      <c r="E419" s="15" t="str">
        <f aca="false">IF(B419="","",DATE(YEAR(B419),MONTH(B419),1))</f>
        <v/>
      </c>
      <c r="F419" s="9"/>
      <c r="G419" s="6"/>
      <c r="H419" s="6"/>
      <c r="I419" s="6"/>
    </row>
    <row r="420" customFormat="false" ht="15" hidden="false" customHeight="false" outlineLevel="0" collapsed="false">
      <c r="A420" s="6"/>
      <c r="B420" s="10"/>
      <c r="C420" s="6"/>
      <c r="D420" s="14" t="str">
        <f aca="false">IF(C420="","",IFERROR(INDEX(Pacientes!$Q:$Q,MATCH(C420,Pacientes!$A:$A,0)),"ID no existe"))</f>
        <v/>
      </c>
      <c r="E420" s="15" t="str">
        <f aca="false">IF(B420="","",DATE(YEAR(B420),MONTH(B420),1))</f>
        <v/>
      </c>
      <c r="F420" s="9"/>
      <c r="G420" s="6"/>
      <c r="H420" s="6"/>
      <c r="I420" s="6"/>
    </row>
    <row r="421" customFormat="false" ht="15" hidden="false" customHeight="false" outlineLevel="0" collapsed="false">
      <c r="A421" s="6"/>
      <c r="B421" s="10"/>
      <c r="C421" s="6"/>
      <c r="D421" s="14" t="str">
        <f aca="false">IF(C421="","",IFERROR(INDEX(Pacientes!$Q:$Q,MATCH(C421,Pacientes!$A:$A,0)),"ID no existe"))</f>
        <v/>
      </c>
      <c r="E421" s="15" t="str">
        <f aca="false">IF(B421="","",DATE(YEAR(B421),MONTH(B421),1))</f>
        <v/>
      </c>
      <c r="F421" s="9"/>
      <c r="G421" s="6"/>
      <c r="H421" s="6"/>
      <c r="I421" s="6"/>
    </row>
    <row r="422" customFormat="false" ht="15" hidden="false" customHeight="false" outlineLevel="0" collapsed="false">
      <c r="A422" s="6"/>
      <c r="B422" s="10"/>
      <c r="C422" s="6"/>
      <c r="D422" s="14" t="str">
        <f aca="false">IF(C422="","",IFERROR(INDEX(Pacientes!$Q:$Q,MATCH(C422,Pacientes!$A:$A,0)),"ID no existe"))</f>
        <v/>
      </c>
      <c r="E422" s="15" t="str">
        <f aca="false">IF(B422="","",DATE(YEAR(B422),MONTH(B422),1))</f>
        <v/>
      </c>
      <c r="F422" s="9"/>
      <c r="G422" s="6"/>
      <c r="H422" s="6"/>
      <c r="I422" s="6"/>
    </row>
    <row r="423" customFormat="false" ht="15" hidden="false" customHeight="false" outlineLevel="0" collapsed="false">
      <c r="A423" s="6"/>
      <c r="B423" s="10"/>
      <c r="C423" s="6"/>
      <c r="D423" s="14" t="str">
        <f aca="false">IF(C423="","",IFERROR(INDEX(Pacientes!$Q:$Q,MATCH(C423,Pacientes!$A:$A,0)),"ID no existe"))</f>
        <v/>
      </c>
      <c r="E423" s="15" t="str">
        <f aca="false">IF(B423="","",DATE(YEAR(B423),MONTH(B423),1))</f>
        <v/>
      </c>
      <c r="F423" s="9"/>
      <c r="G423" s="6"/>
      <c r="H423" s="6"/>
      <c r="I423" s="6"/>
    </row>
    <row r="424" customFormat="false" ht="15" hidden="false" customHeight="false" outlineLevel="0" collapsed="false">
      <c r="A424" s="6"/>
      <c r="B424" s="10"/>
      <c r="C424" s="6"/>
      <c r="D424" s="14" t="str">
        <f aca="false">IF(C424="","",IFERROR(INDEX(Pacientes!$Q:$Q,MATCH(C424,Pacientes!$A:$A,0)),"ID no existe"))</f>
        <v/>
      </c>
      <c r="E424" s="15" t="str">
        <f aca="false">IF(B424="","",DATE(YEAR(B424),MONTH(B424),1))</f>
        <v/>
      </c>
      <c r="F424" s="9"/>
      <c r="G424" s="6"/>
      <c r="H424" s="6"/>
      <c r="I424" s="6"/>
    </row>
    <row r="425" customFormat="false" ht="15" hidden="false" customHeight="false" outlineLevel="0" collapsed="false">
      <c r="A425" s="6"/>
      <c r="B425" s="10"/>
      <c r="C425" s="6"/>
      <c r="D425" s="14" t="str">
        <f aca="false">IF(C425="","",IFERROR(INDEX(Pacientes!$Q:$Q,MATCH(C425,Pacientes!$A:$A,0)),"ID no existe"))</f>
        <v/>
      </c>
      <c r="E425" s="15" t="str">
        <f aca="false">IF(B425="","",DATE(YEAR(B425),MONTH(B425),1))</f>
        <v/>
      </c>
      <c r="F425" s="9"/>
      <c r="G425" s="6"/>
      <c r="H425" s="6"/>
      <c r="I425" s="6"/>
    </row>
    <row r="426" customFormat="false" ht="15" hidden="false" customHeight="false" outlineLevel="0" collapsed="false">
      <c r="A426" s="6"/>
      <c r="B426" s="10"/>
      <c r="C426" s="6"/>
      <c r="D426" s="14" t="str">
        <f aca="false">IF(C426="","",IFERROR(INDEX(Pacientes!$Q:$Q,MATCH(C426,Pacientes!$A:$A,0)),"ID no existe"))</f>
        <v/>
      </c>
      <c r="E426" s="15" t="str">
        <f aca="false">IF(B426="","",DATE(YEAR(B426),MONTH(B426),1))</f>
        <v/>
      </c>
      <c r="F426" s="9"/>
      <c r="G426" s="6"/>
      <c r="H426" s="6"/>
      <c r="I426" s="6"/>
    </row>
    <row r="427" customFormat="false" ht="15" hidden="false" customHeight="false" outlineLevel="0" collapsed="false">
      <c r="A427" s="6"/>
      <c r="B427" s="10"/>
      <c r="C427" s="6"/>
      <c r="D427" s="14" t="str">
        <f aca="false">IF(C427="","",IFERROR(INDEX(Pacientes!$Q:$Q,MATCH(C427,Pacientes!$A:$A,0)),"ID no existe"))</f>
        <v/>
      </c>
      <c r="E427" s="15" t="str">
        <f aca="false">IF(B427="","",DATE(YEAR(B427),MONTH(B427),1))</f>
        <v/>
      </c>
      <c r="F427" s="9"/>
      <c r="G427" s="6"/>
      <c r="H427" s="6"/>
      <c r="I427" s="6"/>
    </row>
    <row r="428" customFormat="false" ht="15" hidden="false" customHeight="false" outlineLevel="0" collapsed="false">
      <c r="A428" s="6"/>
      <c r="B428" s="10"/>
      <c r="C428" s="6"/>
      <c r="D428" s="14" t="str">
        <f aca="false">IF(C428="","",IFERROR(INDEX(Pacientes!$Q:$Q,MATCH(C428,Pacientes!$A:$A,0)),"ID no existe"))</f>
        <v/>
      </c>
      <c r="E428" s="15" t="str">
        <f aca="false">IF(B428="","",DATE(YEAR(B428),MONTH(B428),1))</f>
        <v/>
      </c>
      <c r="F428" s="9"/>
      <c r="G428" s="6"/>
      <c r="H428" s="6"/>
      <c r="I428" s="6"/>
    </row>
    <row r="429" customFormat="false" ht="15" hidden="false" customHeight="false" outlineLevel="0" collapsed="false">
      <c r="A429" s="6"/>
      <c r="B429" s="10"/>
      <c r="C429" s="6"/>
      <c r="D429" s="14" t="str">
        <f aca="false">IF(C429="","",IFERROR(INDEX(Pacientes!$Q:$Q,MATCH(C429,Pacientes!$A:$A,0)),"ID no existe"))</f>
        <v/>
      </c>
      <c r="E429" s="15" t="str">
        <f aca="false">IF(B429="","",DATE(YEAR(B429),MONTH(B429),1))</f>
        <v/>
      </c>
      <c r="F429" s="9"/>
      <c r="G429" s="6"/>
      <c r="H429" s="6"/>
      <c r="I429" s="6"/>
    </row>
    <row r="430" customFormat="false" ht="15" hidden="false" customHeight="false" outlineLevel="0" collapsed="false">
      <c r="A430" s="6"/>
      <c r="B430" s="10"/>
      <c r="C430" s="6"/>
      <c r="D430" s="14" t="str">
        <f aca="false">IF(C430="","",IFERROR(INDEX(Pacientes!$Q:$Q,MATCH(C430,Pacientes!$A:$A,0)),"ID no existe"))</f>
        <v/>
      </c>
      <c r="E430" s="15" t="str">
        <f aca="false">IF(B430="","",DATE(YEAR(B430),MONTH(B430),1))</f>
        <v/>
      </c>
      <c r="F430" s="9"/>
      <c r="G430" s="6"/>
      <c r="H430" s="6"/>
      <c r="I430" s="6"/>
    </row>
    <row r="431" customFormat="false" ht="15" hidden="false" customHeight="false" outlineLevel="0" collapsed="false">
      <c r="A431" s="6"/>
      <c r="B431" s="10"/>
      <c r="C431" s="6"/>
      <c r="D431" s="14" t="str">
        <f aca="false">IF(C431="","",IFERROR(INDEX(Pacientes!$Q:$Q,MATCH(C431,Pacientes!$A:$A,0)),"ID no existe"))</f>
        <v/>
      </c>
      <c r="E431" s="15" t="str">
        <f aca="false">IF(B431="","",DATE(YEAR(B431),MONTH(B431),1))</f>
        <v/>
      </c>
      <c r="F431" s="9"/>
      <c r="G431" s="6"/>
      <c r="H431" s="6"/>
      <c r="I431" s="6"/>
    </row>
    <row r="432" customFormat="false" ht="15" hidden="false" customHeight="false" outlineLevel="0" collapsed="false">
      <c r="A432" s="6"/>
      <c r="B432" s="10"/>
      <c r="C432" s="6"/>
      <c r="D432" s="14" t="str">
        <f aca="false">IF(C432="","",IFERROR(INDEX(Pacientes!$Q:$Q,MATCH(C432,Pacientes!$A:$A,0)),"ID no existe"))</f>
        <v/>
      </c>
      <c r="E432" s="15" t="str">
        <f aca="false">IF(B432="","",DATE(YEAR(B432),MONTH(B432),1))</f>
        <v/>
      </c>
      <c r="F432" s="9"/>
      <c r="G432" s="6"/>
      <c r="H432" s="6"/>
      <c r="I432" s="6"/>
    </row>
    <row r="433" customFormat="false" ht="15" hidden="false" customHeight="false" outlineLevel="0" collapsed="false">
      <c r="A433" s="6"/>
      <c r="B433" s="10"/>
      <c r="C433" s="6"/>
      <c r="D433" s="14" t="str">
        <f aca="false">IF(C433="","",IFERROR(INDEX(Pacientes!$Q:$Q,MATCH(C433,Pacientes!$A:$A,0)),"ID no existe"))</f>
        <v/>
      </c>
      <c r="E433" s="15" t="str">
        <f aca="false">IF(B433="","",DATE(YEAR(B433),MONTH(B433),1))</f>
        <v/>
      </c>
      <c r="F433" s="9"/>
      <c r="G433" s="6"/>
      <c r="H433" s="6"/>
      <c r="I433" s="6"/>
    </row>
    <row r="434" customFormat="false" ht="15" hidden="false" customHeight="false" outlineLevel="0" collapsed="false">
      <c r="A434" s="6"/>
      <c r="B434" s="10"/>
      <c r="C434" s="6"/>
      <c r="D434" s="14" t="str">
        <f aca="false">IF(C434="","",IFERROR(INDEX(Pacientes!$Q:$Q,MATCH(C434,Pacientes!$A:$A,0)),"ID no existe"))</f>
        <v/>
      </c>
      <c r="E434" s="15" t="str">
        <f aca="false">IF(B434="","",DATE(YEAR(B434),MONTH(B434),1))</f>
        <v/>
      </c>
      <c r="F434" s="9"/>
      <c r="G434" s="6"/>
      <c r="H434" s="6"/>
      <c r="I434" s="6"/>
    </row>
    <row r="435" customFormat="false" ht="15" hidden="false" customHeight="false" outlineLevel="0" collapsed="false">
      <c r="A435" s="6"/>
      <c r="B435" s="10"/>
      <c r="C435" s="6"/>
      <c r="D435" s="14" t="str">
        <f aca="false">IF(C435="","",IFERROR(INDEX(Pacientes!$Q:$Q,MATCH(C435,Pacientes!$A:$A,0)),"ID no existe"))</f>
        <v/>
      </c>
      <c r="E435" s="15" t="str">
        <f aca="false">IF(B435="","",DATE(YEAR(B435),MONTH(B435),1))</f>
        <v/>
      </c>
      <c r="F435" s="9"/>
      <c r="G435" s="6"/>
      <c r="H435" s="6"/>
      <c r="I435" s="6"/>
    </row>
    <row r="436" customFormat="false" ht="15" hidden="false" customHeight="false" outlineLevel="0" collapsed="false">
      <c r="A436" s="6"/>
      <c r="B436" s="10"/>
      <c r="C436" s="6"/>
      <c r="D436" s="14" t="str">
        <f aca="false">IF(C436="","",IFERROR(INDEX(Pacientes!$Q:$Q,MATCH(C436,Pacientes!$A:$A,0)),"ID no existe"))</f>
        <v/>
      </c>
      <c r="E436" s="15" t="str">
        <f aca="false">IF(B436="","",DATE(YEAR(B436),MONTH(B436),1))</f>
        <v/>
      </c>
      <c r="F436" s="9"/>
      <c r="G436" s="6"/>
      <c r="H436" s="6"/>
      <c r="I436" s="6"/>
    </row>
    <row r="437" customFormat="false" ht="15" hidden="false" customHeight="false" outlineLevel="0" collapsed="false">
      <c r="A437" s="6"/>
      <c r="B437" s="10"/>
      <c r="C437" s="6"/>
      <c r="D437" s="14" t="str">
        <f aca="false">IF(C437="","",IFERROR(INDEX(Pacientes!$Q:$Q,MATCH(C437,Pacientes!$A:$A,0)),"ID no existe"))</f>
        <v/>
      </c>
      <c r="E437" s="15" t="str">
        <f aca="false">IF(B437="","",DATE(YEAR(B437),MONTH(B437),1))</f>
        <v/>
      </c>
      <c r="F437" s="9"/>
      <c r="G437" s="6"/>
      <c r="H437" s="6"/>
      <c r="I437" s="6"/>
    </row>
    <row r="438" customFormat="false" ht="15" hidden="false" customHeight="false" outlineLevel="0" collapsed="false">
      <c r="A438" s="6"/>
      <c r="B438" s="10"/>
      <c r="C438" s="6"/>
      <c r="D438" s="14" t="str">
        <f aca="false">IF(C438="","",IFERROR(INDEX(Pacientes!$Q:$Q,MATCH(C438,Pacientes!$A:$A,0)),"ID no existe"))</f>
        <v/>
      </c>
      <c r="E438" s="15" t="str">
        <f aca="false">IF(B438="","",DATE(YEAR(B438),MONTH(B438),1))</f>
        <v/>
      </c>
      <c r="F438" s="9"/>
      <c r="G438" s="6"/>
      <c r="H438" s="6"/>
      <c r="I438" s="6"/>
    </row>
    <row r="439" customFormat="false" ht="15" hidden="false" customHeight="false" outlineLevel="0" collapsed="false">
      <c r="A439" s="6"/>
      <c r="B439" s="10"/>
      <c r="C439" s="6"/>
      <c r="D439" s="14" t="str">
        <f aca="false">IF(C439="","",IFERROR(INDEX(Pacientes!$Q:$Q,MATCH(C439,Pacientes!$A:$A,0)),"ID no existe"))</f>
        <v/>
      </c>
      <c r="E439" s="15" t="str">
        <f aca="false">IF(B439="","",DATE(YEAR(B439),MONTH(B439),1))</f>
        <v/>
      </c>
      <c r="F439" s="9"/>
      <c r="G439" s="6"/>
      <c r="H439" s="6"/>
      <c r="I439" s="6"/>
    </row>
    <row r="440" customFormat="false" ht="15" hidden="false" customHeight="false" outlineLevel="0" collapsed="false">
      <c r="A440" s="6"/>
      <c r="B440" s="10"/>
      <c r="C440" s="6"/>
      <c r="D440" s="14" t="str">
        <f aca="false">IF(C440="","",IFERROR(INDEX(Pacientes!$Q:$Q,MATCH(C440,Pacientes!$A:$A,0)),"ID no existe"))</f>
        <v/>
      </c>
      <c r="E440" s="15" t="str">
        <f aca="false">IF(B440="","",DATE(YEAR(B440),MONTH(B440),1))</f>
        <v/>
      </c>
      <c r="F440" s="9"/>
      <c r="G440" s="6"/>
      <c r="H440" s="6"/>
      <c r="I440" s="6"/>
    </row>
    <row r="441" customFormat="false" ht="15" hidden="false" customHeight="false" outlineLevel="0" collapsed="false">
      <c r="A441" s="6"/>
      <c r="B441" s="10"/>
      <c r="C441" s="6"/>
      <c r="D441" s="14" t="str">
        <f aca="false">IF(C441="","",IFERROR(INDEX(Pacientes!$Q:$Q,MATCH(C441,Pacientes!$A:$A,0)),"ID no existe"))</f>
        <v/>
      </c>
      <c r="E441" s="15" t="str">
        <f aca="false">IF(B441="","",DATE(YEAR(B441),MONTH(B441),1))</f>
        <v/>
      </c>
      <c r="F441" s="9"/>
      <c r="G441" s="6"/>
      <c r="H441" s="6"/>
      <c r="I441" s="6"/>
    </row>
    <row r="442" customFormat="false" ht="15" hidden="false" customHeight="false" outlineLevel="0" collapsed="false">
      <c r="A442" s="6"/>
      <c r="B442" s="10"/>
      <c r="C442" s="6"/>
      <c r="D442" s="14" t="str">
        <f aca="false">IF(C442="","",IFERROR(INDEX(Pacientes!$Q:$Q,MATCH(C442,Pacientes!$A:$A,0)),"ID no existe"))</f>
        <v/>
      </c>
      <c r="E442" s="15" t="str">
        <f aca="false">IF(B442="","",DATE(YEAR(B442),MONTH(B442),1))</f>
        <v/>
      </c>
      <c r="F442" s="9"/>
      <c r="G442" s="6"/>
      <c r="H442" s="6"/>
      <c r="I442" s="6"/>
    </row>
    <row r="443" customFormat="false" ht="15" hidden="false" customHeight="false" outlineLevel="0" collapsed="false">
      <c r="A443" s="6"/>
      <c r="B443" s="10"/>
      <c r="C443" s="6"/>
      <c r="D443" s="14" t="str">
        <f aca="false">IF(C443="","",IFERROR(INDEX(Pacientes!$Q:$Q,MATCH(C443,Pacientes!$A:$A,0)),"ID no existe"))</f>
        <v/>
      </c>
      <c r="E443" s="15" t="str">
        <f aca="false">IF(B443="","",DATE(YEAR(B443),MONTH(B443),1))</f>
        <v/>
      </c>
      <c r="F443" s="9"/>
      <c r="G443" s="6"/>
      <c r="H443" s="6"/>
      <c r="I443" s="6"/>
    </row>
    <row r="444" customFormat="false" ht="15" hidden="false" customHeight="false" outlineLevel="0" collapsed="false">
      <c r="A444" s="6"/>
      <c r="B444" s="10"/>
      <c r="C444" s="6"/>
      <c r="D444" s="14" t="str">
        <f aca="false">IF(C444="","",IFERROR(INDEX(Pacientes!$Q:$Q,MATCH(C444,Pacientes!$A:$A,0)),"ID no existe"))</f>
        <v/>
      </c>
      <c r="E444" s="15" t="str">
        <f aca="false">IF(B444="","",DATE(YEAR(B444),MONTH(B444),1))</f>
        <v/>
      </c>
      <c r="F444" s="9"/>
      <c r="G444" s="6"/>
      <c r="H444" s="6"/>
      <c r="I444" s="6"/>
    </row>
    <row r="445" customFormat="false" ht="15" hidden="false" customHeight="false" outlineLevel="0" collapsed="false">
      <c r="A445" s="6"/>
      <c r="B445" s="10"/>
      <c r="C445" s="6"/>
      <c r="D445" s="14" t="str">
        <f aca="false">IF(C445="","",IFERROR(INDEX(Pacientes!$Q:$Q,MATCH(C445,Pacientes!$A:$A,0)),"ID no existe"))</f>
        <v/>
      </c>
      <c r="E445" s="15" t="str">
        <f aca="false">IF(B445="","",DATE(YEAR(B445),MONTH(B445),1))</f>
        <v/>
      </c>
      <c r="F445" s="9"/>
      <c r="G445" s="6"/>
      <c r="H445" s="6"/>
      <c r="I445" s="6"/>
    </row>
    <row r="446" customFormat="false" ht="15" hidden="false" customHeight="false" outlineLevel="0" collapsed="false">
      <c r="A446" s="6"/>
      <c r="B446" s="10"/>
      <c r="C446" s="6"/>
      <c r="D446" s="14" t="str">
        <f aca="false">IF(C446="","",IFERROR(INDEX(Pacientes!$Q:$Q,MATCH(C446,Pacientes!$A:$A,0)),"ID no existe"))</f>
        <v/>
      </c>
      <c r="E446" s="15" t="str">
        <f aca="false">IF(B446="","",DATE(YEAR(B446),MONTH(B446),1))</f>
        <v/>
      </c>
      <c r="F446" s="9"/>
      <c r="G446" s="6"/>
      <c r="H446" s="6"/>
      <c r="I446" s="6"/>
    </row>
    <row r="447" customFormat="false" ht="15" hidden="false" customHeight="false" outlineLevel="0" collapsed="false">
      <c r="A447" s="6"/>
      <c r="B447" s="10"/>
      <c r="C447" s="6"/>
      <c r="D447" s="14" t="str">
        <f aca="false">IF(C447="","",IFERROR(INDEX(Pacientes!$Q:$Q,MATCH(C447,Pacientes!$A:$A,0)),"ID no existe"))</f>
        <v/>
      </c>
      <c r="E447" s="15" t="str">
        <f aca="false">IF(B447="","",DATE(YEAR(B447),MONTH(B447),1))</f>
        <v/>
      </c>
      <c r="F447" s="9"/>
      <c r="G447" s="6"/>
      <c r="H447" s="6"/>
      <c r="I447" s="6"/>
    </row>
    <row r="448" customFormat="false" ht="15" hidden="false" customHeight="false" outlineLevel="0" collapsed="false">
      <c r="A448" s="6"/>
      <c r="B448" s="10"/>
      <c r="C448" s="6"/>
      <c r="D448" s="14" t="str">
        <f aca="false">IF(C448="","",IFERROR(INDEX(Pacientes!$Q:$Q,MATCH(C448,Pacientes!$A:$A,0)),"ID no existe"))</f>
        <v/>
      </c>
      <c r="E448" s="15" t="str">
        <f aca="false">IF(B448="","",DATE(YEAR(B448),MONTH(B448),1))</f>
        <v/>
      </c>
      <c r="F448" s="9"/>
      <c r="G448" s="6"/>
      <c r="H448" s="6"/>
      <c r="I448" s="6"/>
    </row>
    <row r="449" customFormat="false" ht="15" hidden="false" customHeight="false" outlineLevel="0" collapsed="false">
      <c r="A449" s="6"/>
      <c r="B449" s="10"/>
      <c r="C449" s="6"/>
      <c r="D449" s="14" t="str">
        <f aca="false">IF(C449="","",IFERROR(INDEX(Pacientes!$Q:$Q,MATCH(C449,Pacientes!$A:$A,0)),"ID no existe"))</f>
        <v/>
      </c>
      <c r="E449" s="15" t="str">
        <f aca="false">IF(B449="","",DATE(YEAR(B449),MONTH(B449),1))</f>
        <v/>
      </c>
      <c r="F449" s="9"/>
      <c r="G449" s="6"/>
      <c r="H449" s="6"/>
      <c r="I449" s="6"/>
    </row>
    <row r="450" customFormat="false" ht="15" hidden="false" customHeight="false" outlineLevel="0" collapsed="false">
      <c r="A450" s="6"/>
      <c r="B450" s="10"/>
      <c r="C450" s="6"/>
      <c r="D450" s="14" t="str">
        <f aca="false">IF(C450="","",IFERROR(INDEX(Pacientes!$Q:$Q,MATCH(C450,Pacientes!$A:$A,0)),"ID no existe"))</f>
        <v/>
      </c>
      <c r="E450" s="15" t="str">
        <f aca="false">IF(B450="","",DATE(YEAR(B450),MONTH(B450),1))</f>
        <v/>
      </c>
      <c r="F450" s="9"/>
      <c r="G450" s="6"/>
      <c r="H450" s="6"/>
      <c r="I450" s="6"/>
    </row>
    <row r="451" customFormat="false" ht="15" hidden="false" customHeight="false" outlineLevel="0" collapsed="false">
      <c r="A451" s="6"/>
      <c r="B451" s="10"/>
      <c r="C451" s="6"/>
      <c r="D451" s="14" t="str">
        <f aca="false">IF(C451="","",IFERROR(INDEX(Pacientes!$Q:$Q,MATCH(C451,Pacientes!$A:$A,0)),"ID no existe"))</f>
        <v/>
      </c>
      <c r="E451" s="15" t="str">
        <f aca="false">IF(B451="","",DATE(YEAR(B451),MONTH(B451),1))</f>
        <v/>
      </c>
      <c r="F451" s="9"/>
      <c r="G451" s="6"/>
      <c r="H451" s="6"/>
      <c r="I451" s="6"/>
    </row>
    <row r="452" customFormat="false" ht="15" hidden="false" customHeight="false" outlineLevel="0" collapsed="false">
      <c r="A452" s="6"/>
      <c r="B452" s="10"/>
      <c r="C452" s="6"/>
      <c r="D452" s="14" t="str">
        <f aca="false">IF(C452="","",IFERROR(INDEX(Pacientes!$Q:$Q,MATCH(C452,Pacientes!$A:$A,0)),"ID no existe"))</f>
        <v/>
      </c>
      <c r="E452" s="15" t="str">
        <f aca="false">IF(B452="","",DATE(YEAR(B452),MONTH(B452),1))</f>
        <v/>
      </c>
      <c r="F452" s="9"/>
      <c r="G452" s="6"/>
      <c r="H452" s="6"/>
      <c r="I452" s="6"/>
    </row>
    <row r="453" customFormat="false" ht="15" hidden="false" customHeight="false" outlineLevel="0" collapsed="false">
      <c r="A453" s="6"/>
      <c r="B453" s="10"/>
      <c r="C453" s="6"/>
      <c r="D453" s="14" t="str">
        <f aca="false">IF(C453="","",IFERROR(INDEX(Pacientes!$Q:$Q,MATCH(C453,Pacientes!$A:$A,0)),"ID no existe"))</f>
        <v/>
      </c>
      <c r="E453" s="15" t="str">
        <f aca="false">IF(B453="","",DATE(YEAR(B453),MONTH(B453),1))</f>
        <v/>
      </c>
      <c r="F453" s="9"/>
      <c r="G453" s="6"/>
      <c r="H453" s="6"/>
      <c r="I453" s="6"/>
    </row>
    <row r="454" customFormat="false" ht="15" hidden="false" customHeight="false" outlineLevel="0" collapsed="false">
      <c r="A454" s="6"/>
      <c r="B454" s="10"/>
      <c r="C454" s="6"/>
      <c r="D454" s="14" t="str">
        <f aca="false">IF(C454="","",IFERROR(INDEX(Pacientes!$Q:$Q,MATCH(C454,Pacientes!$A:$A,0)),"ID no existe"))</f>
        <v/>
      </c>
      <c r="E454" s="15" t="str">
        <f aca="false">IF(B454="","",DATE(YEAR(B454),MONTH(B454),1))</f>
        <v/>
      </c>
      <c r="F454" s="9"/>
      <c r="G454" s="6"/>
      <c r="H454" s="6"/>
      <c r="I454" s="6"/>
    </row>
    <row r="455" customFormat="false" ht="15" hidden="false" customHeight="false" outlineLevel="0" collapsed="false">
      <c r="A455" s="6"/>
      <c r="B455" s="10"/>
      <c r="C455" s="6"/>
      <c r="D455" s="14" t="str">
        <f aca="false">IF(C455="","",IFERROR(INDEX(Pacientes!$Q:$Q,MATCH(C455,Pacientes!$A:$A,0)),"ID no existe"))</f>
        <v/>
      </c>
      <c r="E455" s="15" t="str">
        <f aca="false">IF(B455="","",DATE(YEAR(B455),MONTH(B455),1))</f>
        <v/>
      </c>
      <c r="F455" s="9"/>
      <c r="G455" s="6"/>
      <c r="H455" s="6"/>
      <c r="I455" s="6"/>
    </row>
    <row r="456" customFormat="false" ht="15" hidden="false" customHeight="false" outlineLevel="0" collapsed="false">
      <c r="A456" s="6"/>
      <c r="B456" s="10"/>
      <c r="C456" s="6"/>
      <c r="D456" s="14" t="str">
        <f aca="false">IF(C456="","",IFERROR(INDEX(Pacientes!$Q:$Q,MATCH(C456,Pacientes!$A:$A,0)),"ID no existe"))</f>
        <v/>
      </c>
      <c r="E456" s="15" t="str">
        <f aca="false">IF(B456="","",DATE(YEAR(B456),MONTH(B456),1))</f>
        <v/>
      </c>
      <c r="F456" s="9"/>
      <c r="G456" s="6"/>
      <c r="H456" s="6"/>
      <c r="I456" s="6"/>
    </row>
    <row r="457" customFormat="false" ht="15" hidden="false" customHeight="false" outlineLevel="0" collapsed="false">
      <c r="A457" s="6"/>
      <c r="B457" s="10"/>
      <c r="C457" s="6"/>
      <c r="D457" s="14" t="str">
        <f aca="false">IF(C457="","",IFERROR(INDEX(Pacientes!$Q:$Q,MATCH(C457,Pacientes!$A:$A,0)),"ID no existe"))</f>
        <v/>
      </c>
      <c r="E457" s="15" t="str">
        <f aca="false">IF(B457="","",DATE(YEAR(B457),MONTH(B457),1))</f>
        <v/>
      </c>
      <c r="F457" s="9"/>
      <c r="G457" s="6"/>
      <c r="H457" s="6"/>
      <c r="I457" s="6"/>
    </row>
    <row r="458" customFormat="false" ht="15" hidden="false" customHeight="false" outlineLevel="0" collapsed="false">
      <c r="A458" s="6"/>
      <c r="B458" s="10"/>
      <c r="C458" s="6"/>
      <c r="D458" s="14" t="str">
        <f aca="false">IF(C458="","",IFERROR(INDEX(Pacientes!$Q:$Q,MATCH(C458,Pacientes!$A:$A,0)),"ID no existe"))</f>
        <v/>
      </c>
      <c r="E458" s="15" t="str">
        <f aca="false">IF(B458="","",DATE(YEAR(B458),MONTH(B458),1))</f>
        <v/>
      </c>
      <c r="F458" s="9"/>
      <c r="G458" s="6"/>
      <c r="H458" s="6"/>
      <c r="I458" s="6"/>
    </row>
    <row r="459" customFormat="false" ht="15" hidden="false" customHeight="false" outlineLevel="0" collapsed="false">
      <c r="A459" s="6"/>
      <c r="B459" s="10"/>
      <c r="C459" s="6"/>
      <c r="D459" s="14" t="str">
        <f aca="false">IF(C459="","",IFERROR(INDEX(Pacientes!$Q:$Q,MATCH(C459,Pacientes!$A:$A,0)),"ID no existe"))</f>
        <v/>
      </c>
      <c r="E459" s="15" t="str">
        <f aca="false">IF(B459="","",DATE(YEAR(B459),MONTH(B459),1))</f>
        <v/>
      </c>
      <c r="F459" s="9"/>
      <c r="G459" s="6"/>
      <c r="H459" s="6"/>
      <c r="I459" s="6"/>
    </row>
    <row r="460" customFormat="false" ht="15" hidden="false" customHeight="false" outlineLevel="0" collapsed="false">
      <c r="A460" s="6"/>
      <c r="B460" s="10"/>
      <c r="C460" s="6"/>
      <c r="D460" s="14" t="str">
        <f aca="false">IF(C460="","",IFERROR(INDEX(Pacientes!$Q:$Q,MATCH(C460,Pacientes!$A:$A,0)),"ID no existe"))</f>
        <v/>
      </c>
      <c r="E460" s="15" t="str">
        <f aca="false">IF(B460="","",DATE(YEAR(B460),MONTH(B460),1))</f>
        <v/>
      </c>
      <c r="F460" s="9"/>
      <c r="G460" s="6"/>
      <c r="H460" s="6"/>
      <c r="I460" s="6"/>
    </row>
    <row r="461" customFormat="false" ht="15" hidden="false" customHeight="false" outlineLevel="0" collapsed="false">
      <c r="A461" s="6"/>
      <c r="B461" s="10"/>
      <c r="C461" s="6"/>
      <c r="D461" s="14" t="str">
        <f aca="false">IF(C461="","",IFERROR(INDEX(Pacientes!$Q:$Q,MATCH(C461,Pacientes!$A:$A,0)),"ID no existe"))</f>
        <v/>
      </c>
      <c r="E461" s="15" t="str">
        <f aca="false">IF(B461="","",DATE(YEAR(B461),MONTH(B461),1))</f>
        <v/>
      </c>
      <c r="F461" s="9"/>
      <c r="G461" s="6"/>
      <c r="H461" s="6"/>
      <c r="I461" s="6"/>
    </row>
    <row r="462" customFormat="false" ht="15" hidden="false" customHeight="false" outlineLevel="0" collapsed="false">
      <c r="A462" s="6"/>
      <c r="B462" s="10"/>
      <c r="C462" s="6"/>
      <c r="D462" s="14" t="str">
        <f aca="false">IF(C462="","",IFERROR(INDEX(Pacientes!$Q:$Q,MATCH(C462,Pacientes!$A:$A,0)),"ID no existe"))</f>
        <v/>
      </c>
      <c r="E462" s="15" t="str">
        <f aca="false">IF(B462="","",DATE(YEAR(B462),MONTH(B462),1))</f>
        <v/>
      </c>
      <c r="F462" s="9"/>
      <c r="G462" s="6"/>
      <c r="H462" s="6"/>
      <c r="I462" s="6"/>
    </row>
    <row r="463" customFormat="false" ht="15" hidden="false" customHeight="false" outlineLevel="0" collapsed="false">
      <c r="A463" s="6"/>
      <c r="B463" s="10"/>
      <c r="C463" s="6"/>
      <c r="D463" s="14" t="str">
        <f aca="false">IF(C463="","",IFERROR(INDEX(Pacientes!$Q:$Q,MATCH(C463,Pacientes!$A:$A,0)),"ID no existe"))</f>
        <v/>
      </c>
      <c r="E463" s="15" t="str">
        <f aca="false">IF(B463="","",DATE(YEAR(B463),MONTH(B463),1))</f>
        <v/>
      </c>
      <c r="F463" s="9"/>
      <c r="G463" s="6"/>
      <c r="H463" s="6"/>
      <c r="I463" s="6"/>
    </row>
    <row r="464" customFormat="false" ht="15" hidden="false" customHeight="false" outlineLevel="0" collapsed="false">
      <c r="A464" s="6"/>
      <c r="B464" s="10"/>
      <c r="C464" s="6"/>
      <c r="D464" s="14" t="str">
        <f aca="false">IF(C464="","",IFERROR(INDEX(Pacientes!$Q:$Q,MATCH(C464,Pacientes!$A:$A,0)),"ID no existe"))</f>
        <v/>
      </c>
      <c r="E464" s="15" t="str">
        <f aca="false">IF(B464="","",DATE(YEAR(B464),MONTH(B464),1))</f>
        <v/>
      </c>
      <c r="F464" s="9"/>
      <c r="G464" s="6"/>
      <c r="H464" s="6"/>
      <c r="I464" s="6"/>
    </row>
    <row r="465" customFormat="false" ht="15" hidden="false" customHeight="false" outlineLevel="0" collapsed="false">
      <c r="A465" s="6"/>
      <c r="B465" s="10"/>
      <c r="C465" s="6"/>
      <c r="D465" s="14" t="str">
        <f aca="false">IF(C465="","",IFERROR(INDEX(Pacientes!$Q:$Q,MATCH(C465,Pacientes!$A:$A,0)),"ID no existe"))</f>
        <v/>
      </c>
      <c r="E465" s="15" t="str">
        <f aca="false">IF(B465="","",DATE(YEAR(B465),MONTH(B465),1))</f>
        <v/>
      </c>
      <c r="F465" s="9"/>
      <c r="G465" s="6"/>
      <c r="H465" s="6"/>
      <c r="I465" s="6"/>
    </row>
    <row r="466" customFormat="false" ht="15" hidden="false" customHeight="false" outlineLevel="0" collapsed="false">
      <c r="A466" s="6"/>
      <c r="B466" s="10"/>
      <c r="C466" s="6"/>
      <c r="D466" s="14" t="str">
        <f aca="false">IF(C466="","",IFERROR(INDEX(Pacientes!$Q:$Q,MATCH(C466,Pacientes!$A:$A,0)),"ID no existe"))</f>
        <v/>
      </c>
      <c r="E466" s="15" t="str">
        <f aca="false">IF(B466="","",DATE(YEAR(B466),MONTH(B466),1))</f>
        <v/>
      </c>
      <c r="F466" s="9"/>
      <c r="G466" s="6"/>
      <c r="H466" s="6"/>
      <c r="I466" s="6"/>
    </row>
    <row r="467" customFormat="false" ht="15" hidden="false" customHeight="false" outlineLevel="0" collapsed="false">
      <c r="A467" s="6"/>
      <c r="B467" s="10"/>
      <c r="C467" s="6"/>
      <c r="D467" s="14" t="str">
        <f aca="false">IF(C467="","",IFERROR(INDEX(Pacientes!$Q:$Q,MATCH(C467,Pacientes!$A:$A,0)),"ID no existe"))</f>
        <v/>
      </c>
      <c r="E467" s="15" t="str">
        <f aca="false">IF(B467="","",DATE(YEAR(B467),MONTH(B467),1))</f>
        <v/>
      </c>
      <c r="F467" s="9"/>
      <c r="G467" s="6"/>
      <c r="H467" s="6"/>
      <c r="I467" s="6"/>
    </row>
    <row r="468" customFormat="false" ht="15" hidden="false" customHeight="false" outlineLevel="0" collapsed="false">
      <c r="A468" s="6"/>
      <c r="B468" s="10"/>
      <c r="C468" s="6"/>
      <c r="D468" s="14" t="str">
        <f aca="false">IF(C468="","",IFERROR(INDEX(Pacientes!$Q:$Q,MATCH(C468,Pacientes!$A:$A,0)),"ID no existe"))</f>
        <v/>
      </c>
      <c r="E468" s="15" t="str">
        <f aca="false">IF(B468="","",DATE(YEAR(B468),MONTH(B468),1))</f>
        <v/>
      </c>
      <c r="F468" s="9"/>
      <c r="G468" s="6"/>
      <c r="H468" s="6"/>
      <c r="I468" s="6"/>
    </row>
    <row r="469" customFormat="false" ht="15" hidden="false" customHeight="false" outlineLevel="0" collapsed="false">
      <c r="A469" s="6"/>
      <c r="B469" s="10"/>
      <c r="C469" s="6"/>
      <c r="D469" s="14" t="str">
        <f aca="false">IF(C469="","",IFERROR(INDEX(Pacientes!$Q:$Q,MATCH(C469,Pacientes!$A:$A,0)),"ID no existe"))</f>
        <v/>
      </c>
      <c r="E469" s="15" t="str">
        <f aca="false">IF(B469="","",DATE(YEAR(B469),MONTH(B469),1))</f>
        <v/>
      </c>
      <c r="F469" s="9"/>
      <c r="G469" s="6"/>
      <c r="H469" s="6"/>
      <c r="I469" s="6"/>
    </row>
    <row r="470" customFormat="false" ht="15" hidden="false" customHeight="false" outlineLevel="0" collapsed="false">
      <c r="A470" s="6"/>
      <c r="B470" s="10"/>
      <c r="C470" s="6"/>
      <c r="D470" s="14" t="str">
        <f aca="false">IF(C470="","",IFERROR(INDEX(Pacientes!$Q:$Q,MATCH(C470,Pacientes!$A:$A,0)),"ID no existe"))</f>
        <v/>
      </c>
      <c r="E470" s="15" t="str">
        <f aca="false">IF(B470="","",DATE(YEAR(B470),MONTH(B470),1))</f>
        <v/>
      </c>
      <c r="F470" s="9"/>
      <c r="G470" s="6"/>
      <c r="H470" s="6"/>
      <c r="I470" s="6"/>
    </row>
    <row r="471" customFormat="false" ht="15" hidden="false" customHeight="false" outlineLevel="0" collapsed="false">
      <c r="A471" s="6"/>
      <c r="B471" s="10"/>
      <c r="C471" s="6"/>
      <c r="D471" s="14" t="str">
        <f aca="false">IF(C471="","",IFERROR(INDEX(Pacientes!$Q:$Q,MATCH(C471,Pacientes!$A:$A,0)),"ID no existe"))</f>
        <v/>
      </c>
      <c r="E471" s="15" t="str">
        <f aca="false">IF(B471="","",DATE(YEAR(B471),MONTH(B471),1))</f>
        <v/>
      </c>
      <c r="F471" s="9"/>
      <c r="G471" s="6"/>
      <c r="H471" s="6"/>
      <c r="I471" s="6"/>
    </row>
    <row r="472" customFormat="false" ht="15" hidden="false" customHeight="false" outlineLevel="0" collapsed="false">
      <c r="A472" s="6"/>
      <c r="B472" s="10"/>
      <c r="C472" s="6"/>
      <c r="D472" s="14" t="str">
        <f aca="false">IF(C472="","",IFERROR(INDEX(Pacientes!$Q:$Q,MATCH(C472,Pacientes!$A:$A,0)),"ID no existe"))</f>
        <v/>
      </c>
      <c r="E472" s="15" t="str">
        <f aca="false">IF(B472="","",DATE(YEAR(B472),MONTH(B472),1))</f>
        <v/>
      </c>
      <c r="F472" s="9"/>
      <c r="G472" s="6"/>
      <c r="H472" s="6"/>
      <c r="I472" s="6"/>
    </row>
    <row r="473" customFormat="false" ht="15" hidden="false" customHeight="false" outlineLevel="0" collapsed="false">
      <c r="A473" s="6"/>
      <c r="B473" s="10"/>
      <c r="C473" s="6"/>
      <c r="D473" s="14" t="str">
        <f aca="false">IF(C473="","",IFERROR(INDEX(Pacientes!$Q:$Q,MATCH(C473,Pacientes!$A:$A,0)),"ID no existe"))</f>
        <v/>
      </c>
      <c r="E473" s="15" t="str">
        <f aca="false">IF(B473="","",DATE(YEAR(B473),MONTH(B473),1))</f>
        <v/>
      </c>
      <c r="F473" s="9"/>
      <c r="G473" s="6"/>
      <c r="H473" s="6"/>
      <c r="I473" s="6"/>
    </row>
    <row r="474" customFormat="false" ht="15" hidden="false" customHeight="false" outlineLevel="0" collapsed="false">
      <c r="A474" s="6"/>
      <c r="B474" s="10"/>
      <c r="C474" s="6"/>
      <c r="D474" s="14" t="str">
        <f aca="false">IF(C474="","",IFERROR(INDEX(Pacientes!$Q:$Q,MATCH(C474,Pacientes!$A:$A,0)),"ID no existe"))</f>
        <v/>
      </c>
      <c r="E474" s="15" t="str">
        <f aca="false">IF(B474="","",DATE(YEAR(B474),MONTH(B474),1))</f>
        <v/>
      </c>
      <c r="F474" s="9"/>
      <c r="G474" s="6"/>
      <c r="H474" s="6"/>
      <c r="I474" s="6"/>
    </row>
    <row r="475" customFormat="false" ht="15" hidden="false" customHeight="false" outlineLevel="0" collapsed="false">
      <c r="A475" s="6"/>
      <c r="B475" s="10"/>
      <c r="C475" s="6"/>
      <c r="D475" s="14" t="str">
        <f aca="false">IF(C475="","",IFERROR(INDEX(Pacientes!$Q:$Q,MATCH(C475,Pacientes!$A:$A,0)),"ID no existe"))</f>
        <v/>
      </c>
      <c r="E475" s="15" t="str">
        <f aca="false">IF(B475="","",DATE(YEAR(B475),MONTH(B475),1))</f>
        <v/>
      </c>
      <c r="F475" s="9"/>
      <c r="G475" s="6"/>
      <c r="H475" s="6"/>
      <c r="I475" s="6"/>
    </row>
    <row r="476" customFormat="false" ht="15" hidden="false" customHeight="false" outlineLevel="0" collapsed="false">
      <c r="A476" s="6"/>
      <c r="B476" s="10"/>
      <c r="C476" s="6"/>
      <c r="D476" s="14" t="str">
        <f aca="false">IF(C476="","",IFERROR(INDEX(Pacientes!$Q:$Q,MATCH(C476,Pacientes!$A:$A,0)),"ID no existe"))</f>
        <v/>
      </c>
      <c r="E476" s="15" t="str">
        <f aca="false">IF(B476="","",DATE(YEAR(B476),MONTH(B476),1))</f>
        <v/>
      </c>
      <c r="F476" s="9"/>
      <c r="G476" s="6"/>
      <c r="H476" s="6"/>
      <c r="I476" s="6"/>
    </row>
    <row r="477" customFormat="false" ht="15" hidden="false" customHeight="false" outlineLevel="0" collapsed="false">
      <c r="A477" s="6"/>
      <c r="B477" s="10"/>
      <c r="C477" s="6"/>
      <c r="D477" s="14" t="str">
        <f aca="false">IF(C477="","",IFERROR(INDEX(Pacientes!$Q:$Q,MATCH(C477,Pacientes!$A:$A,0)),"ID no existe"))</f>
        <v/>
      </c>
      <c r="E477" s="15" t="str">
        <f aca="false">IF(B477="","",DATE(YEAR(B477),MONTH(B477),1))</f>
        <v/>
      </c>
      <c r="F477" s="9"/>
      <c r="G477" s="6"/>
      <c r="H477" s="6"/>
      <c r="I477" s="6"/>
    </row>
    <row r="478" customFormat="false" ht="15" hidden="false" customHeight="false" outlineLevel="0" collapsed="false">
      <c r="A478" s="6"/>
      <c r="B478" s="10"/>
      <c r="C478" s="6"/>
      <c r="D478" s="14" t="str">
        <f aca="false">IF(C478="","",IFERROR(INDEX(Pacientes!$Q:$Q,MATCH(C478,Pacientes!$A:$A,0)),"ID no existe"))</f>
        <v/>
      </c>
      <c r="E478" s="15" t="str">
        <f aca="false">IF(B478="","",DATE(YEAR(B478),MONTH(B478),1))</f>
        <v/>
      </c>
      <c r="F478" s="9"/>
      <c r="G478" s="6"/>
      <c r="H478" s="6"/>
      <c r="I478" s="6"/>
    </row>
    <row r="479" customFormat="false" ht="15" hidden="false" customHeight="false" outlineLevel="0" collapsed="false">
      <c r="A479" s="6"/>
      <c r="B479" s="10"/>
      <c r="C479" s="6"/>
      <c r="D479" s="14" t="str">
        <f aca="false">IF(C479="","",IFERROR(INDEX(Pacientes!$Q:$Q,MATCH(C479,Pacientes!$A:$A,0)),"ID no existe"))</f>
        <v/>
      </c>
      <c r="E479" s="15" t="str">
        <f aca="false">IF(B479="","",DATE(YEAR(B479),MONTH(B479),1))</f>
        <v/>
      </c>
      <c r="F479" s="9"/>
      <c r="G479" s="6"/>
      <c r="H479" s="6"/>
      <c r="I479" s="6"/>
    </row>
    <row r="480" customFormat="false" ht="15" hidden="false" customHeight="false" outlineLevel="0" collapsed="false">
      <c r="A480" s="6"/>
      <c r="B480" s="10"/>
      <c r="C480" s="6"/>
      <c r="D480" s="14" t="str">
        <f aca="false">IF(C480="","",IFERROR(INDEX(Pacientes!$Q:$Q,MATCH(C480,Pacientes!$A:$A,0)),"ID no existe"))</f>
        <v/>
      </c>
      <c r="E480" s="15" t="str">
        <f aca="false">IF(B480="","",DATE(YEAR(B480),MONTH(B480),1))</f>
        <v/>
      </c>
      <c r="F480" s="9"/>
      <c r="G480" s="6"/>
      <c r="H480" s="6"/>
      <c r="I480" s="6"/>
    </row>
    <row r="481" customFormat="false" ht="15" hidden="false" customHeight="false" outlineLevel="0" collapsed="false">
      <c r="A481" s="6"/>
      <c r="B481" s="10"/>
      <c r="C481" s="6"/>
      <c r="D481" s="14" t="str">
        <f aca="false">IF(C481="","",IFERROR(INDEX(Pacientes!$Q:$Q,MATCH(C481,Pacientes!$A:$A,0)),"ID no existe"))</f>
        <v/>
      </c>
      <c r="E481" s="15" t="str">
        <f aca="false">IF(B481="","",DATE(YEAR(B481),MONTH(B481),1))</f>
        <v/>
      </c>
      <c r="F481" s="9"/>
      <c r="G481" s="6"/>
      <c r="H481" s="6"/>
      <c r="I481" s="6"/>
    </row>
    <row r="482" customFormat="false" ht="15" hidden="false" customHeight="false" outlineLevel="0" collapsed="false">
      <c r="A482" s="6"/>
      <c r="B482" s="10"/>
      <c r="C482" s="6"/>
      <c r="D482" s="14" t="str">
        <f aca="false">IF(C482="","",IFERROR(INDEX(Pacientes!$Q:$Q,MATCH(C482,Pacientes!$A:$A,0)),"ID no existe"))</f>
        <v/>
      </c>
      <c r="E482" s="15" t="str">
        <f aca="false">IF(B482="","",DATE(YEAR(B482),MONTH(B482),1))</f>
        <v/>
      </c>
      <c r="F482" s="9"/>
      <c r="G482" s="6"/>
      <c r="H482" s="6"/>
      <c r="I482" s="6"/>
    </row>
    <row r="483" customFormat="false" ht="15" hidden="false" customHeight="false" outlineLevel="0" collapsed="false">
      <c r="A483" s="6"/>
      <c r="B483" s="10"/>
      <c r="C483" s="6"/>
      <c r="D483" s="14" t="str">
        <f aca="false">IF(C483="","",IFERROR(INDEX(Pacientes!$Q:$Q,MATCH(C483,Pacientes!$A:$A,0)),"ID no existe"))</f>
        <v/>
      </c>
      <c r="E483" s="15" t="str">
        <f aca="false">IF(B483="","",DATE(YEAR(B483),MONTH(B483),1))</f>
        <v/>
      </c>
      <c r="F483" s="9"/>
      <c r="G483" s="6"/>
      <c r="H483" s="6"/>
      <c r="I483" s="6"/>
    </row>
    <row r="484" customFormat="false" ht="15" hidden="false" customHeight="false" outlineLevel="0" collapsed="false">
      <c r="A484" s="6"/>
      <c r="B484" s="10"/>
      <c r="C484" s="6"/>
      <c r="D484" s="14" t="str">
        <f aca="false">IF(C484="","",IFERROR(INDEX(Pacientes!$Q:$Q,MATCH(C484,Pacientes!$A:$A,0)),"ID no existe"))</f>
        <v/>
      </c>
      <c r="E484" s="15" t="str">
        <f aca="false">IF(B484="","",DATE(YEAR(B484),MONTH(B484),1))</f>
        <v/>
      </c>
      <c r="F484" s="9"/>
      <c r="G484" s="6"/>
      <c r="H484" s="6"/>
      <c r="I484" s="6"/>
    </row>
    <row r="485" customFormat="false" ht="15" hidden="false" customHeight="false" outlineLevel="0" collapsed="false">
      <c r="A485" s="6"/>
      <c r="B485" s="10"/>
      <c r="C485" s="6"/>
      <c r="D485" s="14" t="str">
        <f aca="false">IF(C485="","",IFERROR(INDEX(Pacientes!$Q:$Q,MATCH(C485,Pacientes!$A:$A,0)),"ID no existe"))</f>
        <v/>
      </c>
      <c r="E485" s="15" t="str">
        <f aca="false">IF(B485="","",DATE(YEAR(B485),MONTH(B485),1))</f>
        <v/>
      </c>
      <c r="F485" s="9"/>
      <c r="G485" s="6"/>
      <c r="H485" s="6"/>
      <c r="I485" s="6"/>
    </row>
    <row r="486" customFormat="false" ht="15" hidden="false" customHeight="false" outlineLevel="0" collapsed="false">
      <c r="A486" s="6"/>
      <c r="B486" s="10"/>
      <c r="C486" s="6"/>
      <c r="D486" s="14" t="str">
        <f aca="false">IF(C486="","",IFERROR(INDEX(Pacientes!$Q:$Q,MATCH(C486,Pacientes!$A:$A,0)),"ID no existe"))</f>
        <v/>
      </c>
      <c r="E486" s="15" t="str">
        <f aca="false">IF(B486="","",DATE(YEAR(B486),MONTH(B486),1))</f>
        <v/>
      </c>
      <c r="F486" s="9"/>
      <c r="G486" s="6"/>
      <c r="H486" s="6"/>
      <c r="I486" s="6"/>
    </row>
    <row r="487" customFormat="false" ht="15" hidden="false" customHeight="false" outlineLevel="0" collapsed="false">
      <c r="A487" s="6"/>
      <c r="B487" s="10"/>
      <c r="C487" s="6"/>
      <c r="D487" s="14" t="str">
        <f aca="false">IF(C487="","",IFERROR(INDEX(Pacientes!$Q:$Q,MATCH(C487,Pacientes!$A:$A,0)),"ID no existe"))</f>
        <v/>
      </c>
      <c r="E487" s="15" t="str">
        <f aca="false">IF(B487="","",DATE(YEAR(B487),MONTH(B487),1))</f>
        <v/>
      </c>
      <c r="F487" s="9"/>
      <c r="G487" s="6"/>
      <c r="H487" s="6"/>
      <c r="I487" s="6"/>
    </row>
    <row r="488" customFormat="false" ht="15" hidden="false" customHeight="false" outlineLevel="0" collapsed="false">
      <c r="A488" s="6"/>
      <c r="B488" s="10"/>
      <c r="C488" s="6"/>
      <c r="D488" s="14" t="str">
        <f aca="false">IF(C488="","",IFERROR(INDEX(Pacientes!$Q:$Q,MATCH(C488,Pacientes!$A:$A,0)),"ID no existe"))</f>
        <v/>
      </c>
      <c r="E488" s="15" t="str">
        <f aca="false">IF(B488="","",DATE(YEAR(B488),MONTH(B488),1))</f>
        <v/>
      </c>
      <c r="F488" s="9"/>
      <c r="G488" s="6"/>
      <c r="H488" s="6"/>
      <c r="I488" s="6"/>
    </row>
    <row r="489" customFormat="false" ht="15" hidden="false" customHeight="false" outlineLevel="0" collapsed="false">
      <c r="A489" s="6"/>
      <c r="B489" s="10"/>
      <c r="C489" s="6"/>
      <c r="D489" s="14" t="str">
        <f aca="false">IF(C489="","",IFERROR(INDEX(Pacientes!$Q:$Q,MATCH(C489,Pacientes!$A:$A,0)),"ID no existe"))</f>
        <v/>
      </c>
      <c r="E489" s="15" t="str">
        <f aca="false">IF(B489="","",DATE(YEAR(B489),MONTH(B489),1))</f>
        <v/>
      </c>
      <c r="F489" s="9"/>
      <c r="G489" s="6"/>
      <c r="H489" s="6"/>
      <c r="I489" s="6"/>
    </row>
    <row r="490" customFormat="false" ht="15" hidden="false" customHeight="false" outlineLevel="0" collapsed="false">
      <c r="A490" s="6"/>
      <c r="B490" s="10"/>
      <c r="C490" s="6"/>
      <c r="D490" s="14" t="str">
        <f aca="false">IF(C490="","",IFERROR(INDEX(Pacientes!$Q:$Q,MATCH(C490,Pacientes!$A:$A,0)),"ID no existe"))</f>
        <v/>
      </c>
      <c r="E490" s="15" t="str">
        <f aca="false">IF(B490="","",DATE(YEAR(B490),MONTH(B490),1))</f>
        <v/>
      </c>
      <c r="F490" s="9"/>
      <c r="G490" s="6"/>
      <c r="H490" s="6"/>
      <c r="I490" s="6"/>
    </row>
    <row r="491" customFormat="false" ht="15" hidden="false" customHeight="false" outlineLevel="0" collapsed="false">
      <c r="A491" s="6"/>
      <c r="B491" s="10"/>
      <c r="C491" s="6"/>
      <c r="D491" s="14" t="str">
        <f aca="false">IF(C491="","",IFERROR(INDEX(Pacientes!$Q:$Q,MATCH(C491,Pacientes!$A:$A,0)),"ID no existe"))</f>
        <v/>
      </c>
      <c r="E491" s="15" t="str">
        <f aca="false">IF(B491="","",DATE(YEAR(B491),MONTH(B491),1))</f>
        <v/>
      </c>
      <c r="F491" s="9"/>
      <c r="G491" s="6"/>
      <c r="H491" s="6"/>
      <c r="I491" s="6"/>
    </row>
    <row r="492" customFormat="false" ht="15" hidden="false" customHeight="false" outlineLevel="0" collapsed="false">
      <c r="A492" s="6"/>
      <c r="B492" s="10"/>
      <c r="C492" s="6"/>
      <c r="D492" s="14" t="str">
        <f aca="false">IF(C492="","",IFERROR(INDEX(Pacientes!$Q:$Q,MATCH(C492,Pacientes!$A:$A,0)),"ID no existe"))</f>
        <v/>
      </c>
      <c r="E492" s="15" t="str">
        <f aca="false">IF(B492="","",DATE(YEAR(B492),MONTH(B492),1))</f>
        <v/>
      </c>
      <c r="F492" s="9"/>
      <c r="G492" s="6"/>
      <c r="H492" s="6"/>
      <c r="I492" s="6"/>
    </row>
    <row r="493" customFormat="false" ht="15" hidden="false" customHeight="false" outlineLevel="0" collapsed="false">
      <c r="A493" s="6"/>
      <c r="B493" s="10"/>
      <c r="C493" s="6"/>
      <c r="D493" s="14" t="str">
        <f aca="false">IF(C493="","",IFERROR(INDEX(Pacientes!$Q:$Q,MATCH(C493,Pacientes!$A:$A,0)),"ID no existe"))</f>
        <v/>
      </c>
      <c r="E493" s="15" t="str">
        <f aca="false">IF(B493="","",DATE(YEAR(B493),MONTH(B493),1))</f>
        <v/>
      </c>
      <c r="F493" s="9"/>
      <c r="G493" s="6"/>
      <c r="H493" s="6"/>
      <c r="I493" s="6"/>
    </row>
    <row r="494" customFormat="false" ht="15" hidden="false" customHeight="false" outlineLevel="0" collapsed="false">
      <c r="A494" s="6"/>
      <c r="B494" s="10"/>
      <c r="C494" s="6"/>
      <c r="D494" s="14" t="str">
        <f aca="false">IF(C494="","",IFERROR(INDEX(Pacientes!$Q:$Q,MATCH(C494,Pacientes!$A:$A,0)),"ID no existe"))</f>
        <v/>
      </c>
      <c r="E494" s="15" t="str">
        <f aca="false">IF(B494="","",DATE(YEAR(B494),MONTH(B494),1))</f>
        <v/>
      </c>
      <c r="F494" s="9"/>
      <c r="G494" s="6"/>
      <c r="H494" s="6"/>
      <c r="I494" s="6"/>
    </row>
    <row r="495" customFormat="false" ht="15" hidden="false" customHeight="false" outlineLevel="0" collapsed="false">
      <c r="A495" s="6"/>
      <c r="B495" s="10"/>
      <c r="C495" s="6"/>
      <c r="D495" s="14" t="str">
        <f aca="false">IF(C495="","",IFERROR(INDEX(Pacientes!$Q:$Q,MATCH(C495,Pacientes!$A:$A,0)),"ID no existe"))</f>
        <v/>
      </c>
      <c r="E495" s="15" t="str">
        <f aca="false">IF(B495="","",DATE(YEAR(B495),MONTH(B495),1))</f>
        <v/>
      </c>
      <c r="F495" s="9"/>
      <c r="G495" s="6"/>
      <c r="H495" s="6"/>
      <c r="I495" s="6"/>
    </row>
    <row r="496" customFormat="false" ht="15" hidden="false" customHeight="false" outlineLevel="0" collapsed="false">
      <c r="A496" s="6"/>
      <c r="B496" s="10"/>
      <c r="C496" s="6"/>
      <c r="D496" s="14" t="str">
        <f aca="false">IF(C496="","",IFERROR(INDEX(Pacientes!$Q:$Q,MATCH(C496,Pacientes!$A:$A,0)),"ID no existe"))</f>
        <v/>
      </c>
      <c r="E496" s="15" t="str">
        <f aca="false">IF(B496="","",DATE(YEAR(B496),MONTH(B496),1))</f>
        <v/>
      </c>
      <c r="F496" s="9"/>
      <c r="G496" s="6"/>
      <c r="H496" s="6"/>
      <c r="I496" s="6"/>
    </row>
    <row r="497" customFormat="false" ht="15" hidden="false" customHeight="false" outlineLevel="0" collapsed="false">
      <c r="A497" s="6"/>
      <c r="B497" s="10"/>
      <c r="C497" s="6"/>
      <c r="D497" s="14" t="str">
        <f aca="false">IF(C497="","",IFERROR(INDEX(Pacientes!$Q:$Q,MATCH(C497,Pacientes!$A:$A,0)),"ID no existe"))</f>
        <v/>
      </c>
      <c r="E497" s="15" t="str">
        <f aca="false">IF(B497="","",DATE(YEAR(B497),MONTH(B497),1))</f>
        <v/>
      </c>
      <c r="F497" s="9"/>
      <c r="G497" s="6"/>
      <c r="H497" s="6"/>
      <c r="I497" s="6"/>
    </row>
    <row r="498" customFormat="false" ht="15" hidden="false" customHeight="false" outlineLevel="0" collapsed="false">
      <c r="A498" s="6"/>
      <c r="B498" s="10"/>
      <c r="C498" s="6"/>
      <c r="D498" s="14" t="str">
        <f aca="false">IF(C498="","",IFERROR(INDEX(Pacientes!$Q:$Q,MATCH(C498,Pacientes!$A:$A,0)),"ID no existe"))</f>
        <v/>
      </c>
      <c r="E498" s="15" t="str">
        <f aca="false">IF(B498="","",DATE(YEAR(B498),MONTH(B498),1))</f>
        <v/>
      </c>
      <c r="F498" s="9"/>
      <c r="G498" s="6"/>
      <c r="H498" s="6"/>
      <c r="I498" s="6"/>
    </row>
    <row r="499" customFormat="false" ht="15" hidden="false" customHeight="false" outlineLevel="0" collapsed="false">
      <c r="A499" s="6"/>
      <c r="B499" s="10"/>
      <c r="C499" s="6"/>
      <c r="D499" s="14" t="str">
        <f aca="false">IF(C499="","",IFERROR(INDEX(Pacientes!$Q:$Q,MATCH(C499,Pacientes!$A:$A,0)),"ID no existe"))</f>
        <v/>
      </c>
      <c r="E499" s="15" t="str">
        <f aca="false">IF(B499="","",DATE(YEAR(B499),MONTH(B499),1))</f>
        <v/>
      </c>
      <c r="F499" s="9"/>
      <c r="G499" s="6"/>
      <c r="H499" s="6"/>
      <c r="I499" s="6"/>
    </row>
    <row r="500" customFormat="false" ht="15" hidden="false" customHeight="false" outlineLevel="0" collapsed="false">
      <c r="A500" s="6"/>
      <c r="B500" s="10"/>
      <c r="C500" s="6"/>
      <c r="D500" s="14" t="str">
        <f aca="false">IF(C500="","",IFERROR(INDEX(Pacientes!$Q:$Q,MATCH(C500,Pacientes!$A:$A,0)),"ID no existe"))</f>
        <v/>
      </c>
      <c r="E500" s="15" t="str">
        <f aca="false">IF(B500="","",DATE(YEAR(B500),MONTH(B500),1))</f>
        <v/>
      </c>
      <c r="F500" s="9"/>
      <c r="G500" s="6"/>
      <c r="H500" s="6"/>
      <c r="I500" s="6"/>
    </row>
    <row r="501" customFormat="false" ht="15" hidden="false" customHeight="false" outlineLevel="0" collapsed="false">
      <c r="A501" s="6"/>
      <c r="B501" s="10"/>
      <c r="C501" s="6"/>
      <c r="D501" s="14" t="str">
        <f aca="false">IF(C501="","",IFERROR(INDEX(Pacientes!$Q:$Q,MATCH(C501,Pacientes!$A:$A,0)),"ID no existe"))</f>
        <v/>
      </c>
      <c r="E501" s="15" t="str">
        <f aca="false">IF(B501="","",DATE(YEAR(B501),MONTH(B501),1))</f>
        <v/>
      </c>
      <c r="F501" s="9"/>
      <c r="G501" s="6"/>
      <c r="H501" s="6"/>
      <c r="I501" s="6"/>
    </row>
  </sheetData>
  <dataValidations count="3">
    <dataValidation allowBlank="true" error="Elegí un valor de la lista (ID paciente)." errorStyle="stop" errorTitle="Valor no válido" operator="between" showDropDown="false" showErrorMessage="false" showInputMessage="false" sqref="C2:C501" type="list">
      <formula1>Pacientes!$A$2:$A$501</formula1>
      <formula2>0</formula2>
    </dataValidation>
    <dataValidation allowBlank="true" error="Elegí un valor de la lista (moneda)." errorStyle="stop" errorTitle="Valor no válido" operator="between" showDropDown="false" showErrorMessage="false" showInputMessage="false" sqref="G2:G501" type="list">
      <formula1>Listas!$A$2:$A$3</formula1>
      <formula2>0</formula2>
    </dataValidation>
    <dataValidation allowBlank="true" error="Elegí un valor de la lista (estado)." errorStyle="stop" errorTitle="Valor no válido" operator="between" showDropDown="false" showErrorMessage="false" showInputMessage="false" sqref="H2:H501" type="list">
      <formula1>Listas!$F$2:$F$4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3"/>
    <col collapsed="false" customWidth="true" hidden="false" outlineLevel="0" max="4" min="4" style="0" width="12"/>
    <col collapsed="false" customWidth="true" hidden="false" outlineLevel="0" max="5" min="5" style="0" width="26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1" min="10" style="0" width="15"/>
    <col collapsed="false" customWidth="true" hidden="false" outlineLevel="0" max="12" min="12" style="0" width="12"/>
    <col collapsed="false" customWidth="true" hidden="false" outlineLevel="0" max="14" min="13" style="0" width="14"/>
    <col collapsed="false" customWidth="true" hidden="false" outlineLevel="0" max="15" min="15" style="0" width="28"/>
  </cols>
  <sheetData>
    <row r="1" customFormat="false" ht="31.5" hidden="false" customHeight="true" outlineLevel="0" collapsed="false">
      <c r="A1" s="8" t="s">
        <v>75</v>
      </c>
      <c r="B1" s="8" t="s">
        <v>76</v>
      </c>
      <c r="C1" s="8" t="s">
        <v>77</v>
      </c>
      <c r="D1" s="8" t="s">
        <v>34</v>
      </c>
      <c r="E1" s="8" t="s">
        <v>68</v>
      </c>
      <c r="F1" s="8" t="s">
        <v>20</v>
      </c>
      <c r="G1" s="8" t="s">
        <v>37</v>
      </c>
      <c r="H1" s="8" t="s">
        <v>70</v>
      </c>
      <c r="I1" s="8" t="s">
        <v>42</v>
      </c>
      <c r="J1" s="8" t="s">
        <v>78</v>
      </c>
      <c r="K1" s="8" t="s">
        <v>79</v>
      </c>
      <c r="L1" s="8" t="s">
        <v>80</v>
      </c>
      <c r="M1" s="8" t="s">
        <v>81</v>
      </c>
      <c r="N1" s="8" t="s">
        <v>82</v>
      </c>
      <c r="O1" s="8" t="s">
        <v>72</v>
      </c>
    </row>
    <row r="2" customFormat="false" ht="15" hidden="false" customHeight="false" outlineLevel="0" collapsed="false">
      <c r="A2" s="6" t="s">
        <v>83</v>
      </c>
      <c r="B2" s="10" t="n">
        <v>46085</v>
      </c>
      <c r="C2" s="16" t="n">
        <f aca="false">IF(B2="","",DATE(YEAR(B2),MONTH(B2),1))</f>
        <v>46082</v>
      </c>
      <c r="D2" s="6" t="s">
        <v>52</v>
      </c>
      <c r="E2" s="14" t="str">
        <f aca="false">IF(D2="","",IFERROR(INDEX(Pacientes!$Q:$Q,MATCH(D2,Pacientes!$A:$A,0))&amp;"","ID no existe"))</f>
        <v>María Ejemplo</v>
      </c>
      <c r="F2" s="14" t="str">
        <f aca="false">IF(D2="","",IFERROR(INDEX(Pacientes!$D:$D,MATCH(D2,Pacientes!$A:$A,0))&amp;"","ID no existe"))</f>
        <v>30123456</v>
      </c>
      <c r="G2" s="14" t="str">
        <f aca="false">IF(D2="","",IFERROR(INDEX(Pacientes!$E:$E,MATCH(D2,Pacientes!$A:$A,0))&amp;"","ID no existe"))</f>
        <v>27-30123456-4</v>
      </c>
      <c r="H2" s="9" t="n">
        <v>25000</v>
      </c>
      <c r="I2" s="6" t="s">
        <v>62</v>
      </c>
      <c r="J2" s="6" t="s">
        <v>84</v>
      </c>
      <c r="K2" s="6" t="s">
        <v>85</v>
      </c>
      <c r="L2" s="7" t="s">
        <v>86</v>
      </c>
      <c r="M2" s="7" t="s">
        <v>87</v>
      </c>
      <c r="N2" s="6" t="s">
        <v>73</v>
      </c>
      <c r="O2" s="6" t="s">
        <v>65</v>
      </c>
    </row>
    <row r="3" customFormat="false" ht="15" hidden="false" customHeight="false" outlineLevel="0" collapsed="false">
      <c r="A3" s="6"/>
      <c r="B3" s="10"/>
      <c r="C3" s="16" t="str">
        <f aca="false">IF(B3="","",DATE(YEAR(B3),MONTH(B3),1))</f>
        <v/>
      </c>
      <c r="D3" s="6"/>
      <c r="E3" s="14" t="str">
        <f aca="false">IF(D3="","",IFERROR(INDEX(Pacientes!$Q:$Q,MATCH(D3,Pacientes!$A:$A,0))&amp;"","ID no existe"))</f>
        <v/>
      </c>
      <c r="F3" s="14" t="str">
        <f aca="false">IF(D3="","",IFERROR(INDEX(Pacientes!$D:$D,MATCH(D3,Pacientes!$A:$A,0))&amp;"","ID no existe"))</f>
        <v/>
      </c>
      <c r="G3" s="14" t="str">
        <f aca="false">IF(D3="","",IFERROR(INDEX(Pacientes!$E:$E,MATCH(D3,Pacientes!$A:$A,0))&amp;"","ID no existe"))</f>
        <v/>
      </c>
      <c r="H3" s="9"/>
      <c r="I3" s="6"/>
      <c r="J3" s="6"/>
      <c r="K3" s="6"/>
      <c r="L3" s="7"/>
      <c r="M3" s="7"/>
      <c r="N3" s="6"/>
      <c r="O3" s="6"/>
    </row>
    <row r="4" customFormat="false" ht="15" hidden="false" customHeight="false" outlineLevel="0" collapsed="false">
      <c r="A4" s="6"/>
      <c r="B4" s="10"/>
      <c r="C4" s="16" t="str">
        <f aca="false">IF(B4="","",DATE(YEAR(B4),MONTH(B4),1))</f>
        <v/>
      </c>
      <c r="D4" s="6"/>
      <c r="E4" s="14" t="str">
        <f aca="false">IF(D4="","",IFERROR(INDEX(Pacientes!$Q:$Q,MATCH(D4,Pacientes!$A:$A,0))&amp;"","ID no existe"))</f>
        <v/>
      </c>
      <c r="F4" s="14" t="str">
        <f aca="false">IF(D4="","",IFERROR(INDEX(Pacientes!$D:$D,MATCH(D4,Pacientes!$A:$A,0))&amp;"","ID no existe"))</f>
        <v/>
      </c>
      <c r="G4" s="14" t="str">
        <f aca="false">IF(D4="","",IFERROR(INDEX(Pacientes!$E:$E,MATCH(D4,Pacientes!$A:$A,0))&amp;"","ID no existe"))</f>
        <v/>
      </c>
      <c r="H4" s="9"/>
      <c r="I4" s="6"/>
      <c r="J4" s="6"/>
      <c r="K4" s="6"/>
      <c r="L4" s="7"/>
      <c r="M4" s="7"/>
      <c r="N4" s="6"/>
      <c r="O4" s="6"/>
    </row>
    <row r="5" customFormat="false" ht="15" hidden="false" customHeight="false" outlineLevel="0" collapsed="false">
      <c r="A5" s="6"/>
      <c r="B5" s="10"/>
      <c r="C5" s="16" t="str">
        <f aca="false">IF(B5="","",DATE(YEAR(B5),MONTH(B5),1))</f>
        <v/>
      </c>
      <c r="D5" s="6"/>
      <c r="E5" s="14" t="str">
        <f aca="false">IF(D5="","",IFERROR(INDEX(Pacientes!$Q:$Q,MATCH(D5,Pacientes!$A:$A,0))&amp;"","ID no existe"))</f>
        <v/>
      </c>
      <c r="F5" s="14" t="str">
        <f aca="false">IF(D5="","",IFERROR(INDEX(Pacientes!$D:$D,MATCH(D5,Pacientes!$A:$A,0))&amp;"","ID no existe"))</f>
        <v/>
      </c>
      <c r="G5" s="14" t="str">
        <f aca="false">IF(D5="","",IFERROR(INDEX(Pacientes!$E:$E,MATCH(D5,Pacientes!$A:$A,0))&amp;"","ID no existe"))</f>
        <v/>
      </c>
      <c r="H5" s="9"/>
      <c r="I5" s="6"/>
      <c r="J5" s="6"/>
      <c r="K5" s="6"/>
      <c r="L5" s="7"/>
      <c r="M5" s="7"/>
      <c r="N5" s="6"/>
      <c r="O5" s="6"/>
    </row>
    <row r="6" customFormat="false" ht="15" hidden="false" customHeight="false" outlineLevel="0" collapsed="false">
      <c r="A6" s="6"/>
      <c r="B6" s="10"/>
      <c r="C6" s="16" t="str">
        <f aca="false">IF(B6="","",DATE(YEAR(B6),MONTH(B6),1))</f>
        <v/>
      </c>
      <c r="D6" s="6"/>
      <c r="E6" s="14" t="str">
        <f aca="false">IF(D6="","",IFERROR(INDEX(Pacientes!$Q:$Q,MATCH(D6,Pacientes!$A:$A,0))&amp;"","ID no existe"))</f>
        <v/>
      </c>
      <c r="F6" s="14" t="str">
        <f aca="false">IF(D6="","",IFERROR(INDEX(Pacientes!$D:$D,MATCH(D6,Pacientes!$A:$A,0))&amp;"","ID no existe"))</f>
        <v/>
      </c>
      <c r="G6" s="14" t="str">
        <f aca="false">IF(D6="","",IFERROR(INDEX(Pacientes!$E:$E,MATCH(D6,Pacientes!$A:$A,0))&amp;"","ID no existe"))</f>
        <v/>
      </c>
      <c r="H6" s="9"/>
      <c r="I6" s="6"/>
      <c r="J6" s="6"/>
      <c r="K6" s="6"/>
      <c r="L6" s="7"/>
      <c r="M6" s="7"/>
      <c r="N6" s="6"/>
      <c r="O6" s="6"/>
    </row>
    <row r="7" customFormat="false" ht="15" hidden="false" customHeight="false" outlineLevel="0" collapsed="false">
      <c r="A7" s="6"/>
      <c r="B7" s="10"/>
      <c r="C7" s="16" t="str">
        <f aca="false">IF(B7="","",DATE(YEAR(B7),MONTH(B7),1))</f>
        <v/>
      </c>
      <c r="D7" s="6"/>
      <c r="E7" s="14" t="str">
        <f aca="false">IF(D7="","",IFERROR(INDEX(Pacientes!$Q:$Q,MATCH(D7,Pacientes!$A:$A,0))&amp;"","ID no existe"))</f>
        <v/>
      </c>
      <c r="F7" s="14" t="str">
        <f aca="false">IF(D7="","",IFERROR(INDEX(Pacientes!$D:$D,MATCH(D7,Pacientes!$A:$A,0))&amp;"","ID no existe"))</f>
        <v/>
      </c>
      <c r="G7" s="14" t="str">
        <f aca="false">IF(D7="","",IFERROR(INDEX(Pacientes!$E:$E,MATCH(D7,Pacientes!$A:$A,0))&amp;"","ID no existe"))</f>
        <v/>
      </c>
      <c r="H7" s="9"/>
      <c r="I7" s="6"/>
      <c r="J7" s="6"/>
      <c r="K7" s="6"/>
      <c r="L7" s="7"/>
      <c r="M7" s="7"/>
      <c r="N7" s="6"/>
      <c r="O7" s="6"/>
    </row>
    <row r="8" customFormat="false" ht="15" hidden="false" customHeight="false" outlineLevel="0" collapsed="false">
      <c r="A8" s="6"/>
      <c r="B8" s="10"/>
      <c r="C8" s="16" t="str">
        <f aca="false">IF(B8="","",DATE(YEAR(B8),MONTH(B8),1))</f>
        <v/>
      </c>
      <c r="D8" s="6"/>
      <c r="E8" s="14" t="str">
        <f aca="false">IF(D8="","",IFERROR(INDEX(Pacientes!$Q:$Q,MATCH(D8,Pacientes!$A:$A,0))&amp;"","ID no existe"))</f>
        <v/>
      </c>
      <c r="F8" s="14" t="str">
        <f aca="false">IF(D8="","",IFERROR(INDEX(Pacientes!$D:$D,MATCH(D8,Pacientes!$A:$A,0))&amp;"","ID no existe"))</f>
        <v/>
      </c>
      <c r="G8" s="14" t="str">
        <f aca="false">IF(D8="","",IFERROR(INDEX(Pacientes!$E:$E,MATCH(D8,Pacientes!$A:$A,0))&amp;"","ID no existe"))</f>
        <v/>
      </c>
      <c r="H8" s="9"/>
      <c r="I8" s="6"/>
      <c r="J8" s="6"/>
      <c r="K8" s="6"/>
      <c r="L8" s="7"/>
      <c r="M8" s="7"/>
      <c r="N8" s="6"/>
      <c r="O8" s="6"/>
    </row>
    <row r="9" customFormat="false" ht="15" hidden="false" customHeight="false" outlineLevel="0" collapsed="false">
      <c r="A9" s="6"/>
      <c r="B9" s="10"/>
      <c r="C9" s="16" t="str">
        <f aca="false">IF(B9="","",DATE(YEAR(B9),MONTH(B9),1))</f>
        <v/>
      </c>
      <c r="D9" s="6"/>
      <c r="E9" s="14" t="str">
        <f aca="false">IF(D9="","",IFERROR(INDEX(Pacientes!$Q:$Q,MATCH(D9,Pacientes!$A:$A,0))&amp;"","ID no existe"))</f>
        <v/>
      </c>
      <c r="F9" s="14" t="str">
        <f aca="false">IF(D9="","",IFERROR(INDEX(Pacientes!$D:$D,MATCH(D9,Pacientes!$A:$A,0))&amp;"","ID no existe"))</f>
        <v/>
      </c>
      <c r="G9" s="14" t="str">
        <f aca="false">IF(D9="","",IFERROR(INDEX(Pacientes!$E:$E,MATCH(D9,Pacientes!$A:$A,0))&amp;"","ID no existe"))</f>
        <v/>
      </c>
      <c r="H9" s="9"/>
      <c r="I9" s="6"/>
      <c r="J9" s="6"/>
      <c r="K9" s="6"/>
      <c r="L9" s="7"/>
      <c r="M9" s="7"/>
      <c r="N9" s="6"/>
      <c r="O9" s="6"/>
    </row>
    <row r="10" customFormat="false" ht="15" hidden="false" customHeight="false" outlineLevel="0" collapsed="false">
      <c r="A10" s="6"/>
      <c r="B10" s="10"/>
      <c r="C10" s="16" t="str">
        <f aca="false">IF(B10="","",DATE(YEAR(B10),MONTH(B10),1))</f>
        <v/>
      </c>
      <c r="D10" s="6"/>
      <c r="E10" s="14" t="str">
        <f aca="false">IF(D10="","",IFERROR(INDEX(Pacientes!$Q:$Q,MATCH(D10,Pacientes!$A:$A,0))&amp;"","ID no existe"))</f>
        <v/>
      </c>
      <c r="F10" s="14" t="str">
        <f aca="false">IF(D10="","",IFERROR(INDEX(Pacientes!$D:$D,MATCH(D10,Pacientes!$A:$A,0))&amp;"","ID no existe"))</f>
        <v/>
      </c>
      <c r="G10" s="14" t="str">
        <f aca="false">IF(D10="","",IFERROR(INDEX(Pacientes!$E:$E,MATCH(D10,Pacientes!$A:$A,0))&amp;"","ID no existe"))</f>
        <v/>
      </c>
      <c r="H10" s="9"/>
      <c r="I10" s="6"/>
      <c r="J10" s="6"/>
      <c r="K10" s="6"/>
      <c r="L10" s="7"/>
      <c r="M10" s="7"/>
      <c r="N10" s="6"/>
      <c r="O10" s="6"/>
    </row>
    <row r="11" customFormat="false" ht="15" hidden="false" customHeight="false" outlineLevel="0" collapsed="false">
      <c r="A11" s="6"/>
      <c r="B11" s="10"/>
      <c r="C11" s="16" t="str">
        <f aca="false">IF(B11="","",DATE(YEAR(B11),MONTH(B11),1))</f>
        <v/>
      </c>
      <c r="D11" s="6"/>
      <c r="E11" s="14" t="str">
        <f aca="false">IF(D11="","",IFERROR(INDEX(Pacientes!$Q:$Q,MATCH(D11,Pacientes!$A:$A,0))&amp;"","ID no existe"))</f>
        <v/>
      </c>
      <c r="F11" s="14" t="str">
        <f aca="false">IF(D11="","",IFERROR(INDEX(Pacientes!$D:$D,MATCH(D11,Pacientes!$A:$A,0))&amp;"","ID no existe"))</f>
        <v/>
      </c>
      <c r="G11" s="14" t="str">
        <f aca="false">IF(D11="","",IFERROR(INDEX(Pacientes!$E:$E,MATCH(D11,Pacientes!$A:$A,0))&amp;"","ID no existe"))</f>
        <v/>
      </c>
      <c r="H11" s="9"/>
      <c r="I11" s="6"/>
      <c r="J11" s="6"/>
      <c r="K11" s="6"/>
      <c r="L11" s="7"/>
      <c r="M11" s="7"/>
      <c r="N11" s="6"/>
      <c r="O11" s="6"/>
    </row>
    <row r="12" customFormat="false" ht="15" hidden="false" customHeight="false" outlineLevel="0" collapsed="false">
      <c r="A12" s="6"/>
      <c r="B12" s="10"/>
      <c r="C12" s="16" t="str">
        <f aca="false">IF(B12="","",DATE(YEAR(B12),MONTH(B12),1))</f>
        <v/>
      </c>
      <c r="D12" s="6"/>
      <c r="E12" s="14" t="str">
        <f aca="false">IF(D12="","",IFERROR(INDEX(Pacientes!$Q:$Q,MATCH(D12,Pacientes!$A:$A,0))&amp;"","ID no existe"))</f>
        <v/>
      </c>
      <c r="F12" s="14" t="str">
        <f aca="false">IF(D12="","",IFERROR(INDEX(Pacientes!$D:$D,MATCH(D12,Pacientes!$A:$A,0))&amp;"","ID no existe"))</f>
        <v/>
      </c>
      <c r="G12" s="14" t="str">
        <f aca="false">IF(D12="","",IFERROR(INDEX(Pacientes!$E:$E,MATCH(D12,Pacientes!$A:$A,0))&amp;"","ID no existe"))</f>
        <v/>
      </c>
      <c r="H12" s="9"/>
      <c r="I12" s="6"/>
      <c r="J12" s="6"/>
      <c r="K12" s="6"/>
      <c r="L12" s="7"/>
      <c r="M12" s="7"/>
      <c r="N12" s="6"/>
      <c r="O12" s="6"/>
    </row>
    <row r="13" customFormat="false" ht="15" hidden="false" customHeight="false" outlineLevel="0" collapsed="false">
      <c r="A13" s="6"/>
      <c r="B13" s="10"/>
      <c r="C13" s="16" t="str">
        <f aca="false">IF(B13="","",DATE(YEAR(B13),MONTH(B13),1))</f>
        <v/>
      </c>
      <c r="D13" s="6"/>
      <c r="E13" s="14" t="str">
        <f aca="false">IF(D13="","",IFERROR(INDEX(Pacientes!$Q:$Q,MATCH(D13,Pacientes!$A:$A,0))&amp;"","ID no existe"))</f>
        <v/>
      </c>
      <c r="F13" s="14" t="str">
        <f aca="false">IF(D13="","",IFERROR(INDEX(Pacientes!$D:$D,MATCH(D13,Pacientes!$A:$A,0))&amp;"","ID no existe"))</f>
        <v/>
      </c>
      <c r="G13" s="14" t="str">
        <f aca="false">IF(D13="","",IFERROR(INDEX(Pacientes!$E:$E,MATCH(D13,Pacientes!$A:$A,0))&amp;"","ID no existe"))</f>
        <v/>
      </c>
      <c r="H13" s="9"/>
      <c r="I13" s="6"/>
      <c r="J13" s="6"/>
      <c r="K13" s="6"/>
      <c r="L13" s="7"/>
      <c r="M13" s="7"/>
      <c r="N13" s="6"/>
      <c r="O13" s="6"/>
    </row>
    <row r="14" customFormat="false" ht="15" hidden="false" customHeight="false" outlineLevel="0" collapsed="false">
      <c r="A14" s="6"/>
      <c r="B14" s="10"/>
      <c r="C14" s="16" t="str">
        <f aca="false">IF(B14="","",DATE(YEAR(B14),MONTH(B14),1))</f>
        <v/>
      </c>
      <c r="D14" s="6"/>
      <c r="E14" s="14" t="str">
        <f aca="false">IF(D14="","",IFERROR(INDEX(Pacientes!$Q:$Q,MATCH(D14,Pacientes!$A:$A,0))&amp;"","ID no existe"))</f>
        <v/>
      </c>
      <c r="F14" s="14" t="str">
        <f aca="false">IF(D14="","",IFERROR(INDEX(Pacientes!$D:$D,MATCH(D14,Pacientes!$A:$A,0))&amp;"","ID no existe"))</f>
        <v/>
      </c>
      <c r="G14" s="14" t="str">
        <f aca="false">IF(D14="","",IFERROR(INDEX(Pacientes!$E:$E,MATCH(D14,Pacientes!$A:$A,0))&amp;"","ID no existe"))</f>
        <v/>
      </c>
      <c r="H14" s="9"/>
      <c r="I14" s="6"/>
      <c r="J14" s="6"/>
      <c r="K14" s="6"/>
      <c r="L14" s="7"/>
      <c r="M14" s="7"/>
      <c r="N14" s="6"/>
      <c r="O14" s="6"/>
    </row>
    <row r="15" customFormat="false" ht="15" hidden="false" customHeight="false" outlineLevel="0" collapsed="false">
      <c r="A15" s="6"/>
      <c r="B15" s="10"/>
      <c r="C15" s="16" t="str">
        <f aca="false">IF(B15="","",DATE(YEAR(B15),MONTH(B15),1))</f>
        <v/>
      </c>
      <c r="D15" s="6"/>
      <c r="E15" s="14" t="str">
        <f aca="false">IF(D15="","",IFERROR(INDEX(Pacientes!$Q:$Q,MATCH(D15,Pacientes!$A:$A,0))&amp;"","ID no existe"))</f>
        <v/>
      </c>
      <c r="F15" s="14" t="str">
        <f aca="false">IF(D15="","",IFERROR(INDEX(Pacientes!$D:$D,MATCH(D15,Pacientes!$A:$A,0))&amp;"","ID no existe"))</f>
        <v/>
      </c>
      <c r="G15" s="14" t="str">
        <f aca="false">IF(D15="","",IFERROR(INDEX(Pacientes!$E:$E,MATCH(D15,Pacientes!$A:$A,0))&amp;"","ID no existe"))</f>
        <v/>
      </c>
      <c r="H15" s="9"/>
      <c r="I15" s="6"/>
      <c r="J15" s="6"/>
      <c r="K15" s="6"/>
      <c r="L15" s="7"/>
      <c r="M15" s="7"/>
      <c r="N15" s="6"/>
      <c r="O15" s="6"/>
    </row>
    <row r="16" customFormat="false" ht="15" hidden="false" customHeight="false" outlineLevel="0" collapsed="false">
      <c r="A16" s="6"/>
      <c r="B16" s="10"/>
      <c r="C16" s="16" t="str">
        <f aca="false">IF(B16="","",DATE(YEAR(B16),MONTH(B16),1))</f>
        <v/>
      </c>
      <c r="D16" s="6"/>
      <c r="E16" s="14" t="str">
        <f aca="false">IF(D16="","",IFERROR(INDEX(Pacientes!$Q:$Q,MATCH(D16,Pacientes!$A:$A,0))&amp;"","ID no existe"))</f>
        <v/>
      </c>
      <c r="F16" s="14" t="str">
        <f aca="false">IF(D16="","",IFERROR(INDEX(Pacientes!$D:$D,MATCH(D16,Pacientes!$A:$A,0))&amp;"","ID no existe"))</f>
        <v/>
      </c>
      <c r="G16" s="14" t="str">
        <f aca="false">IF(D16="","",IFERROR(INDEX(Pacientes!$E:$E,MATCH(D16,Pacientes!$A:$A,0))&amp;"","ID no existe"))</f>
        <v/>
      </c>
      <c r="H16" s="9"/>
      <c r="I16" s="6"/>
      <c r="J16" s="6"/>
      <c r="K16" s="6"/>
      <c r="L16" s="7"/>
      <c r="M16" s="7"/>
      <c r="N16" s="6"/>
      <c r="O16" s="6"/>
    </row>
    <row r="17" customFormat="false" ht="15" hidden="false" customHeight="false" outlineLevel="0" collapsed="false">
      <c r="A17" s="6"/>
      <c r="B17" s="10"/>
      <c r="C17" s="16" t="str">
        <f aca="false">IF(B17="","",DATE(YEAR(B17),MONTH(B17),1))</f>
        <v/>
      </c>
      <c r="D17" s="6"/>
      <c r="E17" s="14" t="str">
        <f aca="false">IF(D17="","",IFERROR(INDEX(Pacientes!$Q:$Q,MATCH(D17,Pacientes!$A:$A,0))&amp;"","ID no existe"))</f>
        <v/>
      </c>
      <c r="F17" s="14" t="str">
        <f aca="false">IF(D17="","",IFERROR(INDEX(Pacientes!$D:$D,MATCH(D17,Pacientes!$A:$A,0))&amp;"","ID no existe"))</f>
        <v/>
      </c>
      <c r="G17" s="14" t="str">
        <f aca="false">IF(D17="","",IFERROR(INDEX(Pacientes!$E:$E,MATCH(D17,Pacientes!$A:$A,0))&amp;"","ID no existe"))</f>
        <v/>
      </c>
      <c r="H17" s="9"/>
      <c r="I17" s="6"/>
      <c r="J17" s="6"/>
      <c r="K17" s="6"/>
      <c r="L17" s="7"/>
      <c r="M17" s="7"/>
      <c r="N17" s="6"/>
      <c r="O17" s="6"/>
    </row>
    <row r="18" customFormat="false" ht="15" hidden="false" customHeight="false" outlineLevel="0" collapsed="false">
      <c r="A18" s="6"/>
      <c r="B18" s="10"/>
      <c r="C18" s="16" t="str">
        <f aca="false">IF(B18="","",DATE(YEAR(B18),MONTH(B18),1))</f>
        <v/>
      </c>
      <c r="D18" s="6"/>
      <c r="E18" s="14" t="str">
        <f aca="false">IF(D18="","",IFERROR(INDEX(Pacientes!$Q:$Q,MATCH(D18,Pacientes!$A:$A,0))&amp;"","ID no existe"))</f>
        <v/>
      </c>
      <c r="F18" s="14" t="str">
        <f aca="false">IF(D18="","",IFERROR(INDEX(Pacientes!$D:$D,MATCH(D18,Pacientes!$A:$A,0))&amp;"","ID no existe"))</f>
        <v/>
      </c>
      <c r="G18" s="14" t="str">
        <f aca="false">IF(D18="","",IFERROR(INDEX(Pacientes!$E:$E,MATCH(D18,Pacientes!$A:$A,0))&amp;"","ID no existe"))</f>
        <v/>
      </c>
      <c r="H18" s="9"/>
      <c r="I18" s="6"/>
      <c r="J18" s="6"/>
      <c r="K18" s="6"/>
      <c r="L18" s="7"/>
      <c r="M18" s="7"/>
      <c r="N18" s="6"/>
      <c r="O18" s="6"/>
    </row>
    <row r="19" customFormat="false" ht="15" hidden="false" customHeight="false" outlineLevel="0" collapsed="false">
      <c r="A19" s="6"/>
      <c r="B19" s="10"/>
      <c r="C19" s="16" t="str">
        <f aca="false">IF(B19="","",DATE(YEAR(B19),MONTH(B19),1))</f>
        <v/>
      </c>
      <c r="D19" s="6"/>
      <c r="E19" s="14" t="str">
        <f aca="false">IF(D19="","",IFERROR(INDEX(Pacientes!$Q:$Q,MATCH(D19,Pacientes!$A:$A,0))&amp;"","ID no existe"))</f>
        <v/>
      </c>
      <c r="F19" s="14" t="str">
        <f aca="false">IF(D19="","",IFERROR(INDEX(Pacientes!$D:$D,MATCH(D19,Pacientes!$A:$A,0))&amp;"","ID no existe"))</f>
        <v/>
      </c>
      <c r="G19" s="14" t="str">
        <f aca="false">IF(D19="","",IFERROR(INDEX(Pacientes!$E:$E,MATCH(D19,Pacientes!$A:$A,0))&amp;"","ID no existe"))</f>
        <v/>
      </c>
      <c r="H19" s="9"/>
      <c r="I19" s="6"/>
      <c r="J19" s="6"/>
      <c r="K19" s="6"/>
      <c r="L19" s="7"/>
      <c r="M19" s="7"/>
      <c r="N19" s="6"/>
      <c r="O19" s="6"/>
    </row>
    <row r="20" customFormat="false" ht="15" hidden="false" customHeight="false" outlineLevel="0" collapsed="false">
      <c r="A20" s="6"/>
      <c r="B20" s="10"/>
      <c r="C20" s="16" t="str">
        <f aca="false">IF(B20="","",DATE(YEAR(B20),MONTH(B20),1))</f>
        <v/>
      </c>
      <c r="D20" s="6"/>
      <c r="E20" s="14" t="str">
        <f aca="false">IF(D20="","",IFERROR(INDEX(Pacientes!$Q:$Q,MATCH(D20,Pacientes!$A:$A,0))&amp;"","ID no existe"))</f>
        <v/>
      </c>
      <c r="F20" s="14" t="str">
        <f aca="false">IF(D20="","",IFERROR(INDEX(Pacientes!$D:$D,MATCH(D20,Pacientes!$A:$A,0))&amp;"","ID no existe"))</f>
        <v/>
      </c>
      <c r="G20" s="14" t="str">
        <f aca="false">IF(D20="","",IFERROR(INDEX(Pacientes!$E:$E,MATCH(D20,Pacientes!$A:$A,0))&amp;"","ID no existe"))</f>
        <v/>
      </c>
      <c r="H20" s="9"/>
      <c r="I20" s="6"/>
      <c r="J20" s="6"/>
      <c r="K20" s="6"/>
      <c r="L20" s="7"/>
      <c r="M20" s="7"/>
      <c r="N20" s="6"/>
      <c r="O20" s="6"/>
    </row>
    <row r="21" customFormat="false" ht="15" hidden="false" customHeight="false" outlineLevel="0" collapsed="false">
      <c r="A21" s="6"/>
      <c r="B21" s="10"/>
      <c r="C21" s="16" t="str">
        <f aca="false">IF(B21="","",DATE(YEAR(B21),MONTH(B21),1))</f>
        <v/>
      </c>
      <c r="D21" s="6"/>
      <c r="E21" s="14" t="str">
        <f aca="false">IF(D21="","",IFERROR(INDEX(Pacientes!$Q:$Q,MATCH(D21,Pacientes!$A:$A,0))&amp;"","ID no existe"))</f>
        <v/>
      </c>
      <c r="F21" s="14" t="str">
        <f aca="false">IF(D21="","",IFERROR(INDEX(Pacientes!$D:$D,MATCH(D21,Pacientes!$A:$A,0))&amp;"","ID no existe"))</f>
        <v/>
      </c>
      <c r="G21" s="14" t="str">
        <f aca="false">IF(D21="","",IFERROR(INDEX(Pacientes!$E:$E,MATCH(D21,Pacientes!$A:$A,0))&amp;"","ID no existe"))</f>
        <v/>
      </c>
      <c r="H21" s="9"/>
      <c r="I21" s="6"/>
      <c r="J21" s="6"/>
      <c r="K21" s="6"/>
      <c r="L21" s="7"/>
      <c r="M21" s="7"/>
      <c r="N21" s="6"/>
      <c r="O21" s="6"/>
    </row>
    <row r="22" customFormat="false" ht="15" hidden="false" customHeight="false" outlineLevel="0" collapsed="false">
      <c r="A22" s="6"/>
      <c r="B22" s="10"/>
      <c r="C22" s="16" t="str">
        <f aca="false">IF(B22="","",DATE(YEAR(B22),MONTH(B22),1))</f>
        <v/>
      </c>
      <c r="D22" s="6"/>
      <c r="E22" s="14" t="str">
        <f aca="false">IF(D22="","",IFERROR(INDEX(Pacientes!$Q:$Q,MATCH(D22,Pacientes!$A:$A,0))&amp;"","ID no existe"))</f>
        <v/>
      </c>
      <c r="F22" s="14" t="str">
        <f aca="false">IF(D22="","",IFERROR(INDEX(Pacientes!$D:$D,MATCH(D22,Pacientes!$A:$A,0))&amp;"","ID no existe"))</f>
        <v/>
      </c>
      <c r="G22" s="14" t="str">
        <f aca="false">IF(D22="","",IFERROR(INDEX(Pacientes!$E:$E,MATCH(D22,Pacientes!$A:$A,0))&amp;"","ID no existe"))</f>
        <v/>
      </c>
      <c r="H22" s="9"/>
      <c r="I22" s="6"/>
      <c r="J22" s="6"/>
      <c r="K22" s="6"/>
      <c r="L22" s="7"/>
      <c r="M22" s="7"/>
      <c r="N22" s="6"/>
      <c r="O22" s="6"/>
    </row>
    <row r="23" customFormat="false" ht="15" hidden="false" customHeight="false" outlineLevel="0" collapsed="false">
      <c r="A23" s="6"/>
      <c r="B23" s="10"/>
      <c r="C23" s="16" t="str">
        <f aca="false">IF(B23="","",DATE(YEAR(B23),MONTH(B23),1))</f>
        <v/>
      </c>
      <c r="D23" s="6"/>
      <c r="E23" s="14" t="str">
        <f aca="false">IF(D23="","",IFERROR(INDEX(Pacientes!$Q:$Q,MATCH(D23,Pacientes!$A:$A,0))&amp;"","ID no existe"))</f>
        <v/>
      </c>
      <c r="F23" s="14" t="str">
        <f aca="false">IF(D23="","",IFERROR(INDEX(Pacientes!$D:$D,MATCH(D23,Pacientes!$A:$A,0))&amp;"","ID no existe"))</f>
        <v/>
      </c>
      <c r="G23" s="14" t="str">
        <f aca="false">IF(D23="","",IFERROR(INDEX(Pacientes!$E:$E,MATCH(D23,Pacientes!$A:$A,0))&amp;"","ID no existe"))</f>
        <v/>
      </c>
      <c r="H23" s="9"/>
      <c r="I23" s="6"/>
      <c r="J23" s="6"/>
      <c r="K23" s="6"/>
      <c r="L23" s="7"/>
      <c r="M23" s="7"/>
      <c r="N23" s="6"/>
      <c r="O23" s="6"/>
    </row>
    <row r="24" customFormat="false" ht="15" hidden="false" customHeight="false" outlineLevel="0" collapsed="false">
      <c r="A24" s="6"/>
      <c r="B24" s="10"/>
      <c r="C24" s="16" t="str">
        <f aca="false">IF(B24="","",DATE(YEAR(B24),MONTH(B24),1))</f>
        <v/>
      </c>
      <c r="D24" s="6"/>
      <c r="E24" s="14" t="str">
        <f aca="false">IF(D24="","",IFERROR(INDEX(Pacientes!$Q:$Q,MATCH(D24,Pacientes!$A:$A,0))&amp;"","ID no existe"))</f>
        <v/>
      </c>
      <c r="F24" s="14" t="str">
        <f aca="false">IF(D24="","",IFERROR(INDEX(Pacientes!$D:$D,MATCH(D24,Pacientes!$A:$A,0))&amp;"","ID no existe"))</f>
        <v/>
      </c>
      <c r="G24" s="14" t="str">
        <f aca="false">IF(D24="","",IFERROR(INDEX(Pacientes!$E:$E,MATCH(D24,Pacientes!$A:$A,0))&amp;"","ID no existe"))</f>
        <v/>
      </c>
      <c r="H24" s="9"/>
      <c r="I24" s="6"/>
      <c r="J24" s="6"/>
      <c r="K24" s="6"/>
      <c r="L24" s="7"/>
      <c r="M24" s="7"/>
      <c r="N24" s="6"/>
      <c r="O24" s="6"/>
    </row>
    <row r="25" customFormat="false" ht="15" hidden="false" customHeight="false" outlineLevel="0" collapsed="false">
      <c r="A25" s="6"/>
      <c r="B25" s="10"/>
      <c r="C25" s="16" t="str">
        <f aca="false">IF(B25="","",DATE(YEAR(B25),MONTH(B25),1))</f>
        <v/>
      </c>
      <c r="D25" s="6"/>
      <c r="E25" s="14" t="str">
        <f aca="false">IF(D25="","",IFERROR(INDEX(Pacientes!$Q:$Q,MATCH(D25,Pacientes!$A:$A,0))&amp;"","ID no existe"))</f>
        <v/>
      </c>
      <c r="F25" s="14" t="str">
        <f aca="false">IF(D25="","",IFERROR(INDEX(Pacientes!$D:$D,MATCH(D25,Pacientes!$A:$A,0))&amp;"","ID no existe"))</f>
        <v/>
      </c>
      <c r="G25" s="14" t="str">
        <f aca="false">IF(D25="","",IFERROR(INDEX(Pacientes!$E:$E,MATCH(D25,Pacientes!$A:$A,0))&amp;"","ID no existe"))</f>
        <v/>
      </c>
      <c r="H25" s="9"/>
      <c r="I25" s="6"/>
      <c r="J25" s="6"/>
      <c r="K25" s="6"/>
      <c r="L25" s="7"/>
      <c r="M25" s="7"/>
      <c r="N25" s="6"/>
      <c r="O25" s="6"/>
    </row>
    <row r="26" customFormat="false" ht="15" hidden="false" customHeight="false" outlineLevel="0" collapsed="false">
      <c r="A26" s="6"/>
      <c r="B26" s="10"/>
      <c r="C26" s="16" t="str">
        <f aca="false">IF(B26="","",DATE(YEAR(B26),MONTH(B26),1))</f>
        <v/>
      </c>
      <c r="D26" s="6"/>
      <c r="E26" s="14" t="str">
        <f aca="false">IF(D26="","",IFERROR(INDEX(Pacientes!$Q:$Q,MATCH(D26,Pacientes!$A:$A,0))&amp;"","ID no existe"))</f>
        <v/>
      </c>
      <c r="F26" s="14" t="str">
        <f aca="false">IF(D26="","",IFERROR(INDEX(Pacientes!$D:$D,MATCH(D26,Pacientes!$A:$A,0))&amp;"","ID no existe"))</f>
        <v/>
      </c>
      <c r="G26" s="14" t="str">
        <f aca="false">IF(D26="","",IFERROR(INDEX(Pacientes!$E:$E,MATCH(D26,Pacientes!$A:$A,0))&amp;"","ID no existe"))</f>
        <v/>
      </c>
      <c r="H26" s="9"/>
      <c r="I26" s="6"/>
      <c r="J26" s="6"/>
      <c r="K26" s="6"/>
      <c r="L26" s="7"/>
      <c r="M26" s="7"/>
      <c r="N26" s="6"/>
      <c r="O26" s="6"/>
    </row>
    <row r="27" customFormat="false" ht="15" hidden="false" customHeight="false" outlineLevel="0" collapsed="false">
      <c r="A27" s="6"/>
      <c r="B27" s="10"/>
      <c r="C27" s="16" t="str">
        <f aca="false">IF(B27="","",DATE(YEAR(B27),MONTH(B27),1))</f>
        <v/>
      </c>
      <c r="D27" s="6"/>
      <c r="E27" s="14" t="str">
        <f aca="false">IF(D27="","",IFERROR(INDEX(Pacientes!$Q:$Q,MATCH(D27,Pacientes!$A:$A,0))&amp;"","ID no existe"))</f>
        <v/>
      </c>
      <c r="F27" s="14" t="str">
        <f aca="false">IF(D27="","",IFERROR(INDEX(Pacientes!$D:$D,MATCH(D27,Pacientes!$A:$A,0))&amp;"","ID no existe"))</f>
        <v/>
      </c>
      <c r="G27" s="14" t="str">
        <f aca="false">IF(D27="","",IFERROR(INDEX(Pacientes!$E:$E,MATCH(D27,Pacientes!$A:$A,0))&amp;"","ID no existe"))</f>
        <v/>
      </c>
      <c r="H27" s="9"/>
      <c r="I27" s="6"/>
      <c r="J27" s="6"/>
      <c r="K27" s="6"/>
      <c r="L27" s="7"/>
      <c r="M27" s="7"/>
      <c r="N27" s="6"/>
      <c r="O27" s="6"/>
    </row>
    <row r="28" customFormat="false" ht="15" hidden="false" customHeight="false" outlineLevel="0" collapsed="false">
      <c r="A28" s="6"/>
      <c r="B28" s="10"/>
      <c r="C28" s="16" t="str">
        <f aca="false">IF(B28="","",DATE(YEAR(B28),MONTH(B28),1))</f>
        <v/>
      </c>
      <c r="D28" s="6"/>
      <c r="E28" s="14" t="str">
        <f aca="false">IF(D28="","",IFERROR(INDEX(Pacientes!$Q:$Q,MATCH(D28,Pacientes!$A:$A,0))&amp;"","ID no existe"))</f>
        <v/>
      </c>
      <c r="F28" s="14" t="str">
        <f aca="false">IF(D28="","",IFERROR(INDEX(Pacientes!$D:$D,MATCH(D28,Pacientes!$A:$A,0))&amp;"","ID no existe"))</f>
        <v/>
      </c>
      <c r="G28" s="14" t="str">
        <f aca="false">IF(D28="","",IFERROR(INDEX(Pacientes!$E:$E,MATCH(D28,Pacientes!$A:$A,0))&amp;"","ID no existe"))</f>
        <v/>
      </c>
      <c r="H28" s="9"/>
      <c r="I28" s="6"/>
      <c r="J28" s="6"/>
      <c r="K28" s="6"/>
      <c r="L28" s="7"/>
      <c r="M28" s="7"/>
      <c r="N28" s="6"/>
      <c r="O28" s="6"/>
    </row>
    <row r="29" customFormat="false" ht="15" hidden="false" customHeight="false" outlineLevel="0" collapsed="false">
      <c r="A29" s="6"/>
      <c r="B29" s="10"/>
      <c r="C29" s="16" t="str">
        <f aca="false">IF(B29="","",DATE(YEAR(B29),MONTH(B29),1))</f>
        <v/>
      </c>
      <c r="D29" s="6"/>
      <c r="E29" s="14" t="str">
        <f aca="false">IF(D29="","",IFERROR(INDEX(Pacientes!$Q:$Q,MATCH(D29,Pacientes!$A:$A,0))&amp;"","ID no existe"))</f>
        <v/>
      </c>
      <c r="F29" s="14" t="str">
        <f aca="false">IF(D29="","",IFERROR(INDEX(Pacientes!$D:$D,MATCH(D29,Pacientes!$A:$A,0))&amp;"","ID no existe"))</f>
        <v/>
      </c>
      <c r="G29" s="14" t="str">
        <f aca="false">IF(D29="","",IFERROR(INDEX(Pacientes!$E:$E,MATCH(D29,Pacientes!$A:$A,0))&amp;"","ID no existe"))</f>
        <v/>
      </c>
      <c r="H29" s="9"/>
      <c r="I29" s="6"/>
      <c r="J29" s="6"/>
      <c r="K29" s="6"/>
      <c r="L29" s="7"/>
      <c r="M29" s="7"/>
      <c r="N29" s="6"/>
      <c r="O29" s="6"/>
    </row>
    <row r="30" customFormat="false" ht="15" hidden="false" customHeight="false" outlineLevel="0" collapsed="false">
      <c r="A30" s="6"/>
      <c r="B30" s="10"/>
      <c r="C30" s="16" t="str">
        <f aca="false">IF(B30="","",DATE(YEAR(B30),MONTH(B30),1))</f>
        <v/>
      </c>
      <c r="D30" s="6"/>
      <c r="E30" s="14" t="str">
        <f aca="false">IF(D30="","",IFERROR(INDEX(Pacientes!$Q:$Q,MATCH(D30,Pacientes!$A:$A,0))&amp;"","ID no existe"))</f>
        <v/>
      </c>
      <c r="F30" s="14" t="str">
        <f aca="false">IF(D30="","",IFERROR(INDEX(Pacientes!$D:$D,MATCH(D30,Pacientes!$A:$A,0))&amp;"","ID no existe"))</f>
        <v/>
      </c>
      <c r="G30" s="14" t="str">
        <f aca="false">IF(D30="","",IFERROR(INDEX(Pacientes!$E:$E,MATCH(D30,Pacientes!$A:$A,0))&amp;"","ID no existe"))</f>
        <v/>
      </c>
      <c r="H30" s="9"/>
      <c r="I30" s="6"/>
      <c r="J30" s="6"/>
      <c r="K30" s="6"/>
      <c r="L30" s="7"/>
      <c r="M30" s="7"/>
      <c r="N30" s="6"/>
      <c r="O30" s="6"/>
    </row>
    <row r="31" customFormat="false" ht="15" hidden="false" customHeight="false" outlineLevel="0" collapsed="false">
      <c r="A31" s="6"/>
      <c r="B31" s="10"/>
      <c r="C31" s="16" t="str">
        <f aca="false">IF(B31="","",DATE(YEAR(B31),MONTH(B31),1))</f>
        <v/>
      </c>
      <c r="D31" s="6"/>
      <c r="E31" s="14" t="str">
        <f aca="false">IF(D31="","",IFERROR(INDEX(Pacientes!$Q:$Q,MATCH(D31,Pacientes!$A:$A,0))&amp;"","ID no existe"))</f>
        <v/>
      </c>
      <c r="F31" s="14" t="str">
        <f aca="false">IF(D31="","",IFERROR(INDEX(Pacientes!$D:$D,MATCH(D31,Pacientes!$A:$A,0))&amp;"","ID no existe"))</f>
        <v/>
      </c>
      <c r="G31" s="14" t="str">
        <f aca="false">IF(D31="","",IFERROR(INDEX(Pacientes!$E:$E,MATCH(D31,Pacientes!$A:$A,0))&amp;"","ID no existe"))</f>
        <v/>
      </c>
      <c r="H31" s="9"/>
      <c r="I31" s="6"/>
      <c r="J31" s="6"/>
      <c r="K31" s="6"/>
      <c r="L31" s="7"/>
      <c r="M31" s="7"/>
      <c r="N31" s="6"/>
      <c r="O31" s="6"/>
    </row>
    <row r="32" customFormat="false" ht="15" hidden="false" customHeight="false" outlineLevel="0" collapsed="false">
      <c r="A32" s="6"/>
      <c r="B32" s="10"/>
      <c r="C32" s="16" t="str">
        <f aca="false">IF(B32="","",DATE(YEAR(B32),MONTH(B32),1))</f>
        <v/>
      </c>
      <c r="D32" s="6"/>
      <c r="E32" s="14" t="str">
        <f aca="false">IF(D32="","",IFERROR(INDEX(Pacientes!$Q:$Q,MATCH(D32,Pacientes!$A:$A,0))&amp;"","ID no existe"))</f>
        <v/>
      </c>
      <c r="F32" s="14" t="str">
        <f aca="false">IF(D32="","",IFERROR(INDEX(Pacientes!$D:$D,MATCH(D32,Pacientes!$A:$A,0))&amp;"","ID no existe"))</f>
        <v/>
      </c>
      <c r="G32" s="14" t="str">
        <f aca="false">IF(D32="","",IFERROR(INDEX(Pacientes!$E:$E,MATCH(D32,Pacientes!$A:$A,0))&amp;"","ID no existe"))</f>
        <v/>
      </c>
      <c r="H32" s="9"/>
      <c r="I32" s="6"/>
      <c r="J32" s="6"/>
      <c r="K32" s="6"/>
      <c r="L32" s="7"/>
      <c r="M32" s="7"/>
      <c r="N32" s="6"/>
      <c r="O32" s="6"/>
    </row>
    <row r="33" customFormat="false" ht="15" hidden="false" customHeight="false" outlineLevel="0" collapsed="false">
      <c r="A33" s="6"/>
      <c r="B33" s="10"/>
      <c r="C33" s="16" t="str">
        <f aca="false">IF(B33="","",DATE(YEAR(B33),MONTH(B33),1))</f>
        <v/>
      </c>
      <c r="D33" s="6"/>
      <c r="E33" s="14" t="str">
        <f aca="false">IF(D33="","",IFERROR(INDEX(Pacientes!$Q:$Q,MATCH(D33,Pacientes!$A:$A,0))&amp;"","ID no existe"))</f>
        <v/>
      </c>
      <c r="F33" s="14" t="str">
        <f aca="false">IF(D33="","",IFERROR(INDEX(Pacientes!$D:$D,MATCH(D33,Pacientes!$A:$A,0))&amp;"","ID no existe"))</f>
        <v/>
      </c>
      <c r="G33" s="14" t="str">
        <f aca="false">IF(D33="","",IFERROR(INDEX(Pacientes!$E:$E,MATCH(D33,Pacientes!$A:$A,0))&amp;"","ID no existe"))</f>
        <v/>
      </c>
      <c r="H33" s="9"/>
      <c r="I33" s="6"/>
      <c r="J33" s="6"/>
      <c r="K33" s="6"/>
      <c r="L33" s="7"/>
      <c r="M33" s="7"/>
      <c r="N33" s="6"/>
      <c r="O33" s="6"/>
    </row>
    <row r="34" customFormat="false" ht="15" hidden="false" customHeight="false" outlineLevel="0" collapsed="false">
      <c r="A34" s="6"/>
      <c r="B34" s="10"/>
      <c r="C34" s="16" t="str">
        <f aca="false">IF(B34="","",DATE(YEAR(B34),MONTH(B34),1))</f>
        <v/>
      </c>
      <c r="D34" s="6"/>
      <c r="E34" s="14" t="str">
        <f aca="false">IF(D34="","",IFERROR(INDEX(Pacientes!$Q:$Q,MATCH(D34,Pacientes!$A:$A,0))&amp;"","ID no existe"))</f>
        <v/>
      </c>
      <c r="F34" s="14" t="str">
        <f aca="false">IF(D34="","",IFERROR(INDEX(Pacientes!$D:$D,MATCH(D34,Pacientes!$A:$A,0))&amp;"","ID no existe"))</f>
        <v/>
      </c>
      <c r="G34" s="14" t="str">
        <f aca="false">IF(D34="","",IFERROR(INDEX(Pacientes!$E:$E,MATCH(D34,Pacientes!$A:$A,0))&amp;"","ID no existe"))</f>
        <v/>
      </c>
      <c r="H34" s="9"/>
      <c r="I34" s="6"/>
      <c r="J34" s="6"/>
      <c r="K34" s="6"/>
      <c r="L34" s="7"/>
      <c r="M34" s="7"/>
      <c r="N34" s="6"/>
      <c r="O34" s="6"/>
    </row>
    <row r="35" customFormat="false" ht="15" hidden="false" customHeight="false" outlineLevel="0" collapsed="false">
      <c r="A35" s="6"/>
      <c r="B35" s="10"/>
      <c r="C35" s="16" t="str">
        <f aca="false">IF(B35="","",DATE(YEAR(B35),MONTH(B35),1))</f>
        <v/>
      </c>
      <c r="D35" s="6"/>
      <c r="E35" s="14" t="str">
        <f aca="false">IF(D35="","",IFERROR(INDEX(Pacientes!$Q:$Q,MATCH(D35,Pacientes!$A:$A,0))&amp;"","ID no existe"))</f>
        <v/>
      </c>
      <c r="F35" s="14" t="str">
        <f aca="false">IF(D35="","",IFERROR(INDEX(Pacientes!$D:$D,MATCH(D35,Pacientes!$A:$A,0))&amp;"","ID no existe"))</f>
        <v/>
      </c>
      <c r="G35" s="14" t="str">
        <f aca="false">IF(D35="","",IFERROR(INDEX(Pacientes!$E:$E,MATCH(D35,Pacientes!$A:$A,0))&amp;"","ID no existe"))</f>
        <v/>
      </c>
      <c r="H35" s="9"/>
      <c r="I35" s="6"/>
      <c r="J35" s="6"/>
      <c r="K35" s="6"/>
      <c r="L35" s="7"/>
      <c r="M35" s="7"/>
      <c r="N35" s="6"/>
      <c r="O35" s="6"/>
    </row>
    <row r="36" customFormat="false" ht="15" hidden="false" customHeight="false" outlineLevel="0" collapsed="false">
      <c r="A36" s="6"/>
      <c r="B36" s="10"/>
      <c r="C36" s="16" t="str">
        <f aca="false">IF(B36="","",DATE(YEAR(B36),MONTH(B36),1))</f>
        <v/>
      </c>
      <c r="D36" s="6"/>
      <c r="E36" s="14" t="str">
        <f aca="false">IF(D36="","",IFERROR(INDEX(Pacientes!$Q:$Q,MATCH(D36,Pacientes!$A:$A,0))&amp;"","ID no existe"))</f>
        <v/>
      </c>
      <c r="F36" s="14" t="str">
        <f aca="false">IF(D36="","",IFERROR(INDEX(Pacientes!$D:$D,MATCH(D36,Pacientes!$A:$A,0))&amp;"","ID no existe"))</f>
        <v/>
      </c>
      <c r="G36" s="14" t="str">
        <f aca="false">IF(D36="","",IFERROR(INDEX(Pacientes!$E:$E,MATCH(D36,Pacientes!$A:$A,0))&amp;"","ID no existe"))</f>
        <v/>
      </c>
      <c r="H36" s="9"/>
      <c r="I36" s="6"/>
      <c r="J36" s="6"/>
      <c r="K36" s="6"/>
      <c r="L36" s="7"/>
      <c r="M36" s="7"/>
      <c r="N36" s="6"/>
      <c r="O36" s="6"/>
    </row>
    <row r="37" customFormat="false" ht="15" hidden="false" customHeight="false" outlineLevel="0" collapsed="false">
      <c r="A37" s="6"/>
      <c r="B37" s="10"/>
      <c r="C37" s="16" t="str">
        <f aca="false">IF(B37="","",DATE(YEAR(B37),MONTH(B37),1))</f>
        <v/>
      </c>
      <c r="D37" s="6"/>
      <c r="E37" s="14" t="str">
        <f aca="false">IF(D37="","",IFERROR(INDEX(Pacientes!$Q:$Q,MATCH(D37,Pacientes!$A:$A,0))&amp;"","ID no existe"))</f>
        <v/>
      </c>
      <c r="F37" s="14" t="str">
        <f aca="false">IF(D37="","",IFERROR(INDEX(Pacientes!$D:$D,MATCH(D37,Pacientes!$A:$A,0))&amp;"","ID no existe"))</f>
        <v/>
      </c>
      <c r="G37" s="14" t="str">
        <f aca="false">IF(D37="","",IFERROR(INDEX(Pacientes!$E:$E,MATCH(D37,Pacientes!$A:$A,0))&amp;"","ID no existe"))</f>
        <v/>
      </c>
      <c r="H37" s="9"/>
      <c r="I37" s="6"/>
      <c r="J37" s="6"/>
      <c r="K37" s="6"/>
      <c r="L37" s="7"/>
      <c r="M37" s="7"/>
      <c r="N37" s="6"/>
      <c r="O37" s="6"/>
    </row>
    <row r="38" customFormat="false" ht="15" hidden="false" customHeight="false" outlineLevel="0" collapsed="false">
      <c r="A38" s="6"/>
      <c r="B38" s="10"/>
      <c r="C38" s="16" t="str">
        <f aca="false">IF(B38="","",DATE(YEAR(B38),MONTH(B38),1))</f>
        <v/>
      </c>
      <c r="D38" s="6"/>
      <c r="E38" s="14" t="str">
        <f aca="false">IF(D38="","",IFERROR(INDEX(Pacientes!$Q:$Q,MATCH(D38,Pacientes!$A:$A,0))&amp;"","ID no existe"))</f>
        <v/>
      </c>
      <c r="F38" s="14" t="str">
        <f aca="false">IF(D38="","",IFERROR(INDEX(Pacientes!$D:$D,MATCH(D38,Pacientes!$A:$A,0))&amp;"","ID no existe"))</f>
        <v/>
      </c>
      <c r="G38" s="14" t="str">
        <f aca="false">IF(D38="","",IFERROR(INDEX(Pacientes!$E:$E,MATCH(D38,Pacientes!$A:$A,0))&amp;"","ID no existe"))</f>
        <v/>
      </c>
      <c r="H38" s="9"/>
      <c r="I38" s="6"/>
      <c r="J38" s="6"/>
      <c r="K38" s="6"/>
      <c r="L38" s="7"/>
      <c r="M38" s="7"/>
      <c r="N38" s="6"/>
      <c r="O38" s="6"/>
    </row>
    <row r="39" customFormat="false" ht="15" hidden="false" customHeight="false" outlineLevel="0" collapsed="false">
      <c r="A39" s="6"/>
      <c r="B39" s="10"/>
      <c r="C39" s="16" t="str">
        <f aca="false">IF(B39="","",DATE(YEAR(B39),MONTH(B39),1))</f>
        <v/>
      </c>
      <c r="D39" s="6"/>
      <c r="E39" s="14" t="str">
        <f aca="false">IF(D39="","",IFERROR(INDEX(Pacientes!$Q:$Q,MATCH(D39,Pacientes!$A:$A,0))&amp;"","ID no existe"))</f>
        <v/>
      </c>
      <c r="F39" s="14" t="str">
        <f aca="false">IF(D39="","",IFERROR(INDEX(Pacientes!$D:$D,MATCH(D39,Pacientes!$A:$A,0))&amp;"","ID no existe"))</f>
        <v/>
      </c>
      <c r="G39" s="14" t="str">
        <f aca="false">IF(D39="","",IFERROR(INDEX(Pacientes!$E:$E,MATCH(D39,Pacientes!$A:$A,0))&amp;"","ID no existe"))</f>
        <v/>
      </c>
      <c r="H39" s="9"/>
      <c r="I39" s="6"/>
      <c r="J39" s="6"/>
      <c r="K39" s="6"/>
      <c r="L39" s="7"/>
      <c r="M39" s="7"/>
      <c r="N39" s="6"/>
      <c r="O39" s="6"/>
    </row>
    <row r="40" customFormat="false" ht="15" hidden="false" customHeight="false" outlineLevel="0" collapsed="false">
      <c r="A40" s="6"/>
      <c r="B40" s="10"/>
      <c r="C40" s="16" t="str">
        <f aca="false">IF(B40="","",DATE(YEAR(B40),MONTH(B40),1))</f>
        <v/>
      </c>
      <c r="D40" s="6"/>
      <c r="E40" s="14" t="str">
        <f aca="false">IF(D40="","",IFERROR(INDEX(Pacientes!$Q:$Q,MATCH(D40,Pacientes!$A:$A,0))&amp;"","ID no existe"))</f>
        <v/>
      </c>
      <c r="F40" s="14" t="str">
        <f aca="false">IF(D40="","",IFERROR(INDEX(Pacientes!$D:$D,MATCH(D40,Pacientes!$A:$A,0))&amp;"","ID no existe"))</f>
        <v/>
      </c>
      <c r="G40" s="14" t="str">
        <f aca="false">IF(D40="","",IFERROR(INDEX(Pacientes!$E:$E,MATCH(D40,Pacientes!$A:$A,0))&amp;"","ID no existe"))</f>
        <v/>
      </c>
      <c r="H40" s="9"/>
      <c r="I40" s="6"/>
      <c r="J40" s="6"/>
      <c r="K40" s="6"/>
      <c r="L40" s="7"/>
      <c r="M40" s="7"/>
      <c r="N40" s="6"/>
      <c r="O40" s="6"/>
    </row>
    <row r="41" customFormat="false" ht="15" hidden="false" customHeight="false" outlineLevel="0" collapsed="false">
      <c r="A41" s="6"/>
      <c r="B41" s="10"/>
      <c r="C41" s="16" t="str">
        <f aca="false">IF(B41="","",DATE(YEAR(B41),MONTH(B41),1))</f>
        <v/>
      </c>
      <c r="D41" s="6"/>
      <c r="E41" s="14" t="str">
        <f aca="false">IF(D41="","",IFERROR(INDEX(Pacientes!$Q:$Q,MATCH(D41,Pacientes!$A:$A,0))&amp;"","ID no existe"))</f>
        <v/>
      </c>
      <c r="F41" s="14" t="str">
        <f aca="false">IF(D41="","",IFERROR(INDEX(Pacientes!$D:$D,MATCH(D41,Pacientes!$A:$A,0))&amp;"","ID no existe"))</f>
        <v/>
      </c>
      <c r="G41" s="14" t="str">
        <f aca="false">IF(D41="","",IFERROR(INDEX(Pacientes!$E:$E,MATCH(D41,Pacientes!$A:$A,0))&amp;"","ID no existe"))</f>
        <v/>
      </c>
      <c r="H41" s="9"/>
      <c r="I41" s="6"/>
      <c r="J41" s="6"/>
      <c r="K41" s="6"/>
      <c r="L41" s="7"/>
      <c r="M41" s="7"/>
      <c r="N41" s="6"/>
      <c r="O41" s="6"/>
    </row>
    <row r="42" customFormat="false" ht="15" hidden="false" customHeight="false" outlineLevel="0" collapsed="false">
      <c r="A42" s="6"/>
      <c r="B42" s="10"/>
      <c r="C42" s="16" t="str">
        <f aca="false">IF(B42="","",DATE(YEAR(B42),MONTH(B42),1))</f>
        <v/>
      </c>
      <c r="D42" s="6"/>
      <c r="E42" s="14" t="str">
        <f aca="false">IF(D42="","",IFERROR(INDEX(Pacientes!$Q:$Q,MATCH(D42,Pacientes!$A:$A,0))&amp;"","ID no existe"))</f>
        <v/>
      </c>
      <c r="F42" s="14" t="str">
        <f aca="false">IF(D42="","",IFERROR(INDEX(Pacientes!$D:$D,MATCH(D42,Pacientes!$A:$A,0))&amp;"","ID no existe"))</f>
        <v/>
      </c>
      <c r="G42" s="14" t="str">
        <f aca="false">IF(D42="","",IFERROR(INDEX(Pacientes!$E:$E,MATCH(D42,Pacientes!$A:$A,0))&amp;"","ID no existe"))</f>
        <v/>
      </c>
      <c r="H42" s="9"/>
      <c r="I42" s="6"/>
      <c r="J42" s="6"/>
      <c r="K42" s="6"/>
      <c r="L42" s="7"/>
      <c r="M42" s="7"/>
      <c r="N42" s="6"/>
      <c r="O42" s="6"/>
    </row>
    <row r="43" customFormat="false" ht="15" hidden="false" customHeight="false" outlineLevel="0" collapsed="false">
      <c r="A43" s="6"/>
      <c r="B43" s="10"/>
      <c r="C43" s="16" t="str">
        <f aca="false">IF(B43="","",DATE(YEAR(B43),MONTH(B43),1))</f>
        <v/>
      </c>
      <c r="D43" s="6"/>
      <c r="E43" s="14" t="str">
        <f aca="false">IF(D43="","",IFERROR(INDEX(Pacientes!$Q:$Q,MATCH(D43,Pacientes!$A:$A,0))&amp;"","ID no existe"))</f>
        <v/>
      </c>
      <c r="F43" s="14" t="str">
        <f aca="false">IF(D43="","",IFERROR(INDEX(Pacientes!$D:$D,MATCH(D43,Pacientes!$A:$A,0))&amp;"","ID no existe"))</f>
        <v/>
      </c>
      <c r="G43" s="14" t="str">
        <f aca="false">IF(D43="","",IFERROR(INDEX(Pacientes!$E:$E,MATCH(D43,Pacientes!$A:$A,0))&amp;"","ID no existe"))</f>
        <v/>
      </c>
      <c r="H43" s="9"/>
      <c r="I43" s="6"/>
      <c r="J43" s="6"/>
      <c r="K43" s="6"/>
      <c r="L43" s="7"/>
      <c r="M43" s="7"/>
      <c r="N43" s="6"/>
      <c r="O43" s="6"/>
    </row>
    <row r="44" customFormat="false" ht="15" hidden="false" customHeight="false" outlineLevel="0" collapsed="false">
      <c r="A44" s="6"/>
      <c r="B44" s="10"/>
      <c r="C44" s="16" t="str">
        <f aca="false">IF(B44="","",DATE(YEAR(B44),MONTH(B44),1))</f>
        <v/>
      </c>
      <c r="D44" s="6"/>
      <c r="E44" s="14" t="str">
        <f aca="false">IF(D44="","",IFERROR(INDEX(Pacientes!$Q:$Q,MATCH(D44,Pacientes!$A:$A,0))&amp;"","ID no existe"))</f>
        <v/>
      </c>
      <c r="F44" s="14" t="str">
        <f aca="false">IF(D44="","",IFERROR(INDEX(Pacientes!$D:$D,MATCH(D44,Pacientes!$A:$A,0))&amp;"","ID no existe"))</f>
        <v/>
      </c>
      <c r="G44" s="14" t="str">
        <f aca="false">IF(D44="","",IFERROR(INDEX(Pacientes!$E:$E,MATCH(D44,Pacientes!$A:$A,0))&amp;"","ID no existe"))</f>
        <v/>
      </c>
      <c r="H44" s="9"/>
      <c r="I44" s="6"/>
      <c r="J44" s="6"/>
      <c r="K44" s="6"/>
      <c r="L44" s="7"/>
      <c r="M44" s="7"/>
      <c r="N44" s="6"/>
      <c r="O44" s="6"/>
    </row>
    <row r="45" customFormat="false" ht="15" hidden="false" customHeight="false" outlineLevel="0" collapsed="false">
      <c r="A45" s="6"/>
      <c r="B45" s="10"/>
      <c r="C45" s="16" t="str">
        <f aca="false">IF(B45="","",DATE(YEAR(B45),MONTH(B45),1))</f>
        <v/>
      </c>
      <c r="D45" s="6"/>
      <c r="E45" s="14" t="str">
        <f aca="false">IF(D45="","",IFERROR(INDEX(Pacientes!$Q:$Q,MATCH(D45,Pacientes!$A:$A,0))&amp;"","ID no existe"))</f>
        <v/>
      </c>
      <c r="F45" s="14" t="str">
        <f aca="false">IF(D45="","",IFERROR(INDEX(Pacientes!$D:$D,MATCH(D45,Pacientes!$A:$A,0))&amp;"","ID no existe"))</f>
        <v/>
      </c>
      <c r="G45" s="14" t="str">
        <f aca="false">IF(D45="","",IFERROR(INDEX(Pacientes!$E:$E,MATCH(D45,Pacientes!$A:$A,0))&amp;"","ID no existe"))</f>
        <v/>
      </c>
      <c r="H45" s="9"/>
      <c r="I45" s="6"/>
      <c r="J45" s="6"/>
      <c r="K45" s="6"/>
      <c r="L45" s="7"/>
      <c r="M45" s="7"/>
      <c r="N45" s="6"/>
      <c r="O45" s="6"/>
    </row>
    <row r="46" customFormat="false" ht="15" hidden="false" customHeight="false" outlineLevel="0" collapsed="false">
      <c r="A46" s="6"/>
      <c r="B46" s="10"/>
      <c r="C46" s="16" t="str">
        <f aca="false">IF(B46="","",DATE(YEAR(B46),MONTH(B46),1))</f>
        <v/>
      </c>
      <c r="D46" s="6"/>
      <c r="E46" s="14" t="str">
        <f aca="false">IF(D46="","",IFERROR(INDEX(Pacientes!$Q:$Q,MATCH(D46,Pacientes!$A:$A,0))&amp;"","ID no existe"))</f>
        <v/>
      </c>
      <c r="F46" s="14" t="str">
        <f aca="false">IF(D46="","",IFERROR(INDEX(Pacientes!$D:$D,MATCH(D46,Pacientes!$A:$A,0))&amp;"","ID no existe"))</f>
        <v/>
      </c>
      <c r="G46" s="14" t="str">
        <f aca="false">IF(D46="","",IFERROR(INDEX(Pacientes!$E:$E,MATCH(D46,Pacientes!$A:$A,0))&amp;"","ID no existe"))</f>
        <v/>
      </c>
      <c r="H46" s="9"/>
      <c r="I46" s="6"/>
      <c r="J46" s="6"/>
      <c r="K46" s="6"/>
      <c r="L46" s="7"/>
      <c r="M46" s="7"/>
      <c r="N46" s="6"/>
      <c r="O46" s="6"/>
    </row>
    <row r="47" customFormat="false" ht="15" hidden="false" customHeight="false" outlineLevel="0" collapsed="false">
      <c r="A47" s="6"/>
      <c r="B47" s="10"/>
      <c r="C47" s="16" t="str">
        <f aca="false">IF(B47="","",DATE(YEAR(B47),MONTH(B47),1))</f>
        <v/>
      </c>
      <c r="D47" s="6"/>
      <c r="E47" s="14" t="str">
        <f aca="false">IF(D47="","",IFERROR(INDEX(Pacientes!$Q:$Q,MATCH(D47,Pacientes!$A:$A,0))&amp;"","ID no existe"))</f>
        <v/>
      </c>
      <c r="F47" s="14" t="str">
        <f aca="false">IF(D47="","",IFERROR(INDEX(Pacientes!$D:$D,MATCH(D47,Pacientes!$A:$A,0))&amp;"","ID no existe"))</f>
        <v/>
      </c>
      <c r="G47" s="14" t="str">
        <f aca="false">IF(D47="","",IFERROR(INDEX(Pacientes!$E:$E,MATCH(D47,Pacientes!$A:$A,0))&amp;"","ID no existe"))</f>
        <v/>
      </c>
      <c r="H47" s="9"/>
      <c r="I47" s="6"/>
      <c r="J47" s="6"/>
      <c r="K47" s="6"/>
      <c r="L47" s="7"/>
      <c r="M47" s="7"/>
      <c r="N47" s="6"/>
      <c r="O47" s="6"/>
    </row>
    <row r="48" customFormat="false" ht="15" hidden="false" customHeight="false" outlineLevel="0" collapsed="false">
      <c r="A48" s="6"/>
      <c r="B48" s="10"/>
      <c r="C48" s="16" t="str">
        <f aca="false">IF(B48="","",DATE(YEAR(B48),MONTH(B48),1))</f>
        <v/>
      </c>
      <c r="D48" s="6"/>
      <c r="E48" s="14" t="str">
        <f aca="false">IF(D48="","",IFERROR(INDEX(Pacientes!$Q:$Q,MATCH(D48,Pacientes!$A:$A,0))&amp;"","ID no existe"))</f>
        <v/>
      </c>
      <c r="F48" s="14" t="str">
        <f aca="false">IF(D48="","",IFERROR(INDEX(Pacientes!$D:$D,MATCH(D48,Pacientes!$A:$A,0))&amp;"","ID no existe"))</f>
        <v/>
      </c>
      <c r="G48" s="14" t="str">
        <f aca="false">IF(D48="","",IFERROR(INDEX(Pacientes!$E:$E,MATCH(D48,Pacientes!$A:$A,0))&amp;"","ID no existe"))</f>
        <v/>
      </c>
      <c r="H48" s="9"/>
      <c r="I48" s="6"/>
      <c r="J48" s="6"/>
      <c r="K48" s="6"/>
      <c r="L48" s="7"/>
      <c r="M48" s="7"/>
      <c r="N48" s="6"/>
      <c r="O48" s="6"/>
    </row>
    <row r="49" customFormat="false" ht="15" hidden="false" customHeight="false" outlineLevel="0" collapsed="false">
      <c r="A49" s="6"/>
      <c r="B49" s="10"/>
      <c r="C49" s="16" t="str">
        <f aca="false">IF(B49="","",DATE(YEAR(B49),MONTH(B49),1))</f>
        <v/>
      </c>
      <c r="D49" s="6"/>
      <c r="E49" s="14" t="str">
        <f aca="false">IF(D49="","",IFERROR(INDEX(Pacientes!$Q:$Q,MATCH(D49,Pacientes!$A:$A,0))&amp;"","ID no existe"))</f>
        <v/>
      </c>
      <c r="F49" s="14" t="str">
        <f aca="false">IF(D49="","",IFERROR(INDEX(Pacientes!$D:$D,MATCH(D49,Pacientes!$A:$A,0))&amp;"","ID no existe"))</f>
        <v/>
      </c>
      <c r="G49" s="14" t="str">
        <f aca="false">IF(D49="","",IFERROR(INDEX(Pacientes!$E:$E,MATCH(D49,Pacientes!$A:$A,0))&amp;"","ID no existe"))</f>
        <v/>
      </c>
      <c r="H49" s="9"/>
      <c r="I49" s="6"/>
      <c r="J49" s="6"/>
      <c r="K49" s="6"/>
      <c r="L49" s="7"/>
      <c r="M49" s="7"/>
      <c r="N49" s="6"/>
      <c r="O49" s="6"/>
    </row>
    <row r="50" customFormat="false" ht="15" hidden="false" customHeight="false" outlineLevel="0" collapsed="false">
      <c r="A50" s="6"/>
      <c r="B50" s="10"/>
      <c r="C50" s="16" t="str">
        <f aca="false">IF(B50="","",DATE(YEAR(B50),MONTH(B50),1))</f>
        <v/>
      </c>
      <c r="D50" s="6"/>
      <c r="E50" s="14" t="str">
        <f aca="false">IF(D50="","",IFERROR(INDEX(Pacientes!$Q:$Q,MATCH(D50,Pacientes!$A:$A,0))&amp;"","ID no existe"))</f>
        <v/>
      </c>
      <c r="F50" s="14" t="str">
        <f aca="false">IF(D50="","",IFERROR(INDEX(Pacientes!$D:$D,MATCH(D50,Pacientes!$A:$A,0))&amp;"","ID no existe"))</f>
        <v/>
      </c>
      <c r="G50" s="14" t="str">
        <f aca="false">IF(D50="","",IFERROR(INDEX(Pacientes!$E:$E,MATCH(D50,Pacientes!$A:$A,0))&amp;"","ID no existe"))</f>
        <v/>
      </c>
      <c r="H50" s="9"/>
      <c r="I50" s="6"/>
      <c r="J50" s="6"/>
      <c r="K50" s="6"/>
      <c r="L50" s="7"/>
      <c r="M50" s="7"/>
      <c r="N50" s="6"/>
      <c r="O50" s="6"/>
    </row>
    <row r="51" customFormat="false" ht="15" hidden="false" customHeight="false" outlineLevel="0" collapsed="false">
      <c r="A51" s="6"/>
      <c r="B51" s="10"/>
      <c r="C51" s="16" t="str">
        <f aca="false">IF(B51="","",DATE(YEAR(B51),MONTH(B51),1))</f>
        <v/>
      </c>
      <c r="D51" s="6"/>
      <c r="E51" s="14" t="str">
        <f aca="false">IF(D51="","",IFERROR(INDEX(Pacientes!$Q:$Q,MATCH(D51,Pacientes!$A:$A,0))&amp;"","ID no existe"))</f>
        <v/>
      </c>
      <c r="F51" s="14" t="str">
        <f aca="false">IF(D51="","",IFERROR(INDEX(Pacientes!$D:$D,MATCH(D51,Pacientes!$A:$A,0))&amp;"","ID no existe"))</f>
        <v/>
      </c>
      <c r="G51" s="14" t="str">
        <f aca="false">IF(D51="","",IFERROR(INDEX(Pacientes!$E:$E,MATCH(D51,Pacientes!$A:$A,0))&amp;"","ID no existe"))</f>
        <v/>
      </c>
      <c r="H51" s="9"/>
      <c r="I51" s="6"/>
      <c r="J51" s="6"/>
      <c r="K51" s="6"/>
      <c r="L51" s="7"/>
      <c r="M51" s="7"/>
      <c r="N51" s="6"/>
      <c r="O51" s="6"/>
    </row>
    <row r="52" customFormat="false" ht="15" hidden="false" customHeight="false" outlineLevel="0" collapsed="false">
      <c r="A52" s="6"/>
      <c r="B52" s="10"/>
      <c r="C52" s="16" t="str">
        <f aca="false">IF(B52="","",DATE(YEAR(B52),MONTH(B52),1))</f>
        <v/>
      </c>
      <c r="D52" s="6"/>
      <c r="E52" s="14" t="str">
        <f aca="false">IF(D52="","",IFERROR(INDEX(Pacientes!$Q:$Q,MATCH(D52,Pacientes!$A:$A,0))&amp;"","ID no existe"))</f>
        <v/>
      </c>
      <c r="F52" s="14" t="str">
        <f aca="false">IF(D52="","",IFERROR(INDEX(Pacientes!$D:$D,MATCH(D52,Pacientes!$A:$A,0))&amp;"","ID no existe"))</f>
        <v/>
      </c>
      <c r="G52" s="14" t="str">
        <f aca="false">IF(D52="","",IFERROR(INDEX(Pacientes!$E:$E,MATCH(D52,Pacientes!$A:$A,0))&amp;"","ID no existe"))</f>
        <v/>
      </c>
      <c r="H52" s="9"/>
      <c r="I52" s="6"/>
      <c r="J52" s="6"/>
      <c r="K52" s="6"/>
      <c r="L52" s="7"/>
      <c r="M52" s="7"/>
      <c r="N52" s="6"/>
      <c r="O52" s="6"/>
    </row>
    <row r="53" customFormat="false" ht="15" hidden="false" customHeight="false" outlineLevel="0" collapsed="false">
      <c r="A53" s="6"/>
      <c r="B53" s="10"/>
      <c r="C53" s="16" t="str">
        <f aca="false">IF(B53="","",DATE(YEAR(B53),MONTH(B53),1))</f>
        <v/>
      </c>
      <c r="D53" s="6"/>
      <c r="E53" s="14" t="str">
        <f aca="false">IF(D53="","",IFERROR(INDEX(Pacientes!$Q:$Q,MATCH(D53,Pacientes!$A:$A,0))&amp;"","ID no existe"))</f>
        <v/>
      </c>
      <c r="F53" s="14" t="str">
        <f aca="false">IF(D53="","",IFERROR(INDEX(Pacientes!$D:$D,MATCH(D53,Pacientes!$A:$A,0))&amp;"","ID no existe"))</f>
        <v/>
      </c>
      <c r="G53" s="14" t="str">
        <f aca="false">IF(D53="","",IFERROR(INDEX(Pacientes!$E:$E,MATCH(D53,Pacientes!$A:$A,0))&amp;"","ID no existe"))</f>
        <v/>
      </c>
      <c r="H53" s="9"/>
      <c r="I53" s="6"/>
      <c r="J53" s="6"/>
      <c r="K53" s="6"/>
      <c r="L53" s="7"/>
      <c r="M53" s="7"/>
      <c r="N53" s="6"/>
      <c r="O53" s="6"/>
    </row>
    <row r="54" customFormat="false" ht="15" hidden="false" customHeight="false" outlineLevel="0" collapsed="false">
      <c r="A54" s="6"/>
      <c r="B54" s="10"/>
      <c r="C54" s="16" t="str">
        <f aca="false">IF(B54="","",DATE(YEAR(B54),MONTH(B54),1))</f>
        <v/>
      </c>
      <c r="D54" s="6"/>
      <c r="E54" s="14" t="str">
        <f aca="false">IF(D54="","",IFERROR(INDEX(Pacientes!$Q:$Q,MATCH(D54,Pacientes!$A:$A,0))&amp;"","ID no existe"))</f>
        <v/>
      </c>
      <c r="F54" s="14" t="str">
        <f aca="false">IF(D54="","",IFERROR(INDEX(Pacientes!$D:$D,MATCH(D54,Pacientes!$A:$A,0))&amp;"","ID no existe"))</f>
        <v/>
      </c>
      <c r="G54" s="14" t="str">
        <f aca="false">IF(D54="","",IFERROR(INDEX(Pacientes!$E:$E,MATCH(D54,Pacientes!$A:$A,0))&amp;"","ID no existe"))</f>
        <v/>
      </c>
      <c r="H54" s="9"/>
      <c r="I54" s="6"/>
      <c r="J54" s="6"/>
      <c r="K54" s="6"/>
      <c r="L54" s="7"/>
      <c r="M54" s="7"/>
      <c r="N54" s="6"/>
      <c r="O54" s="6"/>
    </row>
    <row r="55" customFormat="false" ht="15" hidden="false" customHeight="false" outlineLevel="0" collapsed="false">
      <c r="A55" s="6"/>
      <c r="B55" s="10"/>
      <c r="C55" s="16" t="str">
        <f aca="false">IF(B55="","",DATE(YEAR(B55),MONTH(B55),1))</f>
        <v/>
      </c>
      <c r="D55" s="6"/>
      <c r="E55" s="14" t="str">
        <f aca="false">IF(D55="","",IFERROR(INDEX(Pacientes!$Q:$Q,MATCH(D55,Pacientes!$A:$A,0))&amp;"","ID no existe"))</f>
        <v/>
      </c>
      <c r="F55" s="14" t="str">
        <f aca="false">IF(D55="","",IFERROR(INDEX(Pacientes!$D:$D,MATCH(D55,Pacientes!$A:$A,0))&amp;"","ID no existe"))</f>
        <v/>
      </c>
      <c r="G55" s="14" t="str">
        <f aca="false">IF(D55="","",IFERROR(INDEX(Pacientes!$E:$E,MATCH(D55,Pacientes!$A:$A,0))&amp;"","ID no existe"))</f>
        <v/>
      </c>
      <c r="H55" s="9"/>
      <c r="I55" s="6"/>
      <c r="J55" s="6"/>
      <c r="K55" s="6"/>
      <c r="L55" s="7"/>
      <c r="M55" s="7"/>
      <c r="N55" s="6"/>
      <c r="O55" s="6"/>
    </row>
    <row r="56" customFormat="false" ht="15" hidden="false" customHeight="false" outlineLevel="0" collapsed="false">
      <c r="A56" s="6"/>
      <c r="B56" s="10"/>
      <c r="C56" s="16" t="str">
        <f aca="false">IF(B56="","",DATE(YEAR(B56),MONTH(B56),1))</f>
        <v/>
      </c>
      <c r="D56" s="6"/>
      <c r="E56" s="14" t="str">
        <f aca="false">IF(D56="","",IFERROR(INDEX(Pacientes!$Q:$Q,MATCH(D56,Pacientes!$A:$A,0))&amp;"","ID no existe"))</f>
        <v/>
      </c>
      <c r="F56" s="14" t="str">
        <f aca="false">IF(D56="","",IFERROR(INDEX(Pacientes!$D:$D,MATCH(D56,Pacientes!$A:$A,0))&amp;"","ID no existe"))</f>
        <v/>
      </c>
      <c r="G56" s="14" t="str">
        <f aca="false">IF(D56="","",IFERROR(INDEX(Pacientes!$E:$E,MATCH(D56,Pacientes!$A:$A,0))&amp;"","ID no existe"))</f>
        <v/>
      </c>
      <c r="H56" s="9"/>
      <c r="I56" s="6"/>
      <c r="J56" s="6"/>
      <c r="K56" s="6"/>
      <c r="L56" s="7"/>
      <c r="M56" s="7"/>
      <c r="N56" s="6"/>
      <c r="O56" s="6"/>
    </row>
    <row r="57" customFormat="false" ht="15" hidden="false" customHeight="false" outlineLevel="0" collapsed="false">
      <c r="A57" s="6"/>
      <c r="B57" s="10"/>
      <c r="C57" s="16" t="str">
        <f aca="false">IF(B57="","",DATE(YEAR(B57),MONTH(B57),1))</f>
        <v/>
      </c>
      <c r="D57" s="6"/>
      <c r="E57" s="14" t="str">
        <f aca="false">IF(D57="","",IFERROR(INDEX(Pacientes!$Q:$Q,MATCH(D57,Pacientes!$A:$A,0))&amp;"","ID no existe"))</f>
        <v/>
      </c>
      <c r="F57" s="14" t="str">
        <f aca="false">IF(D57="","",IFERROR(INDEX(Pacientes!$D:$D,MATCH(D57,Pacientes!$A:$A,0))&amp;"","ID no existe"))</f>
        <v/>
      </c>
      <c r="G57" s="14" t="str">
        <f aca="false">IF(D57="","",IFERROR(INDEX(Pacientes!$E:$E,MATCH(D57,Pacientes!$A:$A,0))&amp;"","ID no existe"))</f>
        <v/>
      </c>
      <c r="H57" s="9"/>
      <c r="I57" s="6"/>
      <c r="J57" s="6"/>
      <c r="K57" s="6"/>
      <c r="L57" s="7"/>
      <c r="M57" s="7"/>
      <c r="N57" s="6"/>
      <c r="O57" s="6"/>
    </row>
    <row r="58" customFormat="false" ht="15" hidden="false" customHeight="false" outlineLevel="0" collapsed="false">
      <c r="A58" s="6"/>
      <c r="B58" s="10"/>
      <c r="C58" s="16" t="str">
        <f aca="false">IF(B58="","",DATE(YEAR(B58),MONTH(B58),1))</f>
        <v/>
      </c>
      <c r="D58" s="6"/>
      <c r="E58" s="14" t="str">
        <f aca="false">IF(D58="","",IFERROR(INDEX(Pacientes!$Q:$Q,MATCH(D58,Pacientes!$A:$A,0))&amp;"","ID no existe"))</f>
        <v/>
      </c>
      <c r="F58" s="14" t="str">
        <f aca="false">IF(D58="","",IFERROR(INDEX(Pacientes!$D:$D,MATCH(D58,Pacientes!$A:$A,0))&amp;"","ID no existe"))</f>
        <v/>
      </c>
      <c r="G58" s="14" t="str">
        <f aca="false">IF(D58="","",IFERROR(INDEX(Pacientes!$E:$E,MATCH(D58,Pacientes!$A:$A,0))&amp;"","ID no existe"))</f>
        <v/>
      </c>
      <c r="H58" s="9"/>
      <c r="I58" s="6"/>
      <c r="J58" s="6"/>
      <c r="K58" s="6"/>
      <c r="L58" s="7"/>
      <c r="M58" s="7"/>
      <c r="N58" s="6"/>
      <c r="O58" s="6"/>
    </row>
    <row r="59" customFormat="false" ht="15" hidden="false" customHeight="false" outlineLevel="0" collapsed="false">
      <c r="A59" s="6"/>
      <c r="B59" s="10"/>
      <c r="C59" s="16" t="str">
        <f aca="false">IF(B59="","",DATE(YEAR(B59),MONTH(B59),1))</f>
        <v/>
      </c>
      <c r="D59" s="6"/>
      <c r="E59" s="14" t="str">
        <f aca="false">IF(D59="","",IFERROR(INDEX(Pacientes!$Q:$Q,MATCH(D59,Pacientes!$A:$A,0))&amp;"","ID no existe"))</f>
        <v/>
      </c>
      <c r="F59" s="14" t="str">
        <f aca="false">IF(D59="","",IFERROR(INDEX(Pacientes!$D:$D,MATCH(D59,Pacientes!$A:$A,0))&amp;"","ID no existe"))</f>
        <v/>
      </c>
      <c r="G59" s="14" t="str">
        <f aca="false">IF(D59="","",IFERROR(INDEX(Pacientes!$E:$E,MATCH(D59,Pacientes!$A:$A,0))&amp;"","ID no existe"))</f>
        <v/>
      </c>
      <c r="H59" s="9"/>
      <c r="I59" s="6"/>
      <c r="J59" s="6"/>
      <c r="K59" s="6"/>
      <c r="L59" s="7"/>
      <c r="M59" s="7"/>
      <c r="N59" s="6"/>
      <c r="O59" s="6"/>
    </row>
    <row r="60" customFormat="false" ht="15" hidden="false" customHeight="false" outlineLevel="0" collapsed="false">
      <c r="A60" s="6"/>
      <c r="B60" s="10"/>
      <c r="C60" s="16" t="str">
        <f aca="false">IF(B60="","",DATE(YEAR(B60),MONTH(B60),1))</f>
        <v/>
      </c>
      <c r="D60" s="6"/>
      <c r="E60" s="14" t="str">
        <f aca="false">IF(D60="","",IFERROR(INDEX(Pacientes!$Q:$Q,MATCH(D60,Pacientes!$A:$A,0))&amp;"","ID no existe"))</f>
        <v/>
      </c>
      <c r="F60" s="14" t="str">
        <f aca="false">IF(D60="","",IFERROR(INDEX(Pacientes!$D:$D,MATCH(D60,Pacientes!$A:$A,0))&amp;"","ID no existe"))</f>
        <v/>
      </c>
      <c r="G60" s="14" t="str">
        <f aca="false">IF(D60="","",IFERROR(INDEX(Pacientes!$E:$E,MATCH(D60,Pacientes!$A:$A,0))&amp;"","ID no existe"))</f>
        <v/>
      </c>
      <c r="H60" s="9"/>
      <c r="I60" s="6"/>
      <c r="J60" s="6"/>
      <c r="K60" s="6"/>
      <c r="L60" s="7"/>
      <c r="M60" s="7"/>
      <c r="N60" s="6"/>
      <c r="O60" s="6"/>
    </row>
    <row r="61" customFormat="false" ht="15" hidden="false" customHeight="false" outlineLevel="0" collapsed="false">
      <c r="A61" s="6"/>
      <c r="B61" s="10"/>
      <c r="C61" s="16" t="str">
        <f aca="false">IF(B61="","",DATE(YEAR(B61),MONTH(B61),1))</f>
        <v/>
      </c>
      <c r="D61" s="6"/>
      <c r="E61" s="14" t="str">
        <f aca="false">IF(D61="","",IFERROR(INDEX(Pacientes!$Q:$Q,MATCH(D61,Pacientes!$A:$A,0))&amp;"","ID no existe"))</f>
        <v/>
      </c>
      <c r="F61" s="14" t="str">
        <f aca="false">IF(D61="","",IFERROR(INDEX(Pacientes!$D:$D,MATCH(D61,Pacientes!$A:$A,0))&amp;"","ID no existe"))</f>
        <v/>
      </c>
      <c r="G61" s="14" t="str">
        <f aca="false">IF(D61="","",IFERROR(INDEX(Pacientes!$E:$E,MATCH(D61,Pacientes!$A:$A,0))&amp;"","ID no existe"))</f>
        <v/>
      </c>
      <c r="H61" s="9"/>
      <c r="I61" s="6"/>
      <c r="J61" s="6"/>
      <c r="K61" s="6"/>
      <c r="L61" s="7"/>
      <c r="M61" s="7"/>
      <c r="N61" s="6"/>
      <c r="O61" s="6"/>
    </row>
    <row r="62" customFormat="false" ht="15" hidden="false" customHeight="false" outlineLevel="0" collapsed="false">
      <c r="A62" s="6"/>
      <c r="B62" s="10"/>
      <c r="C62" s="16" t="str">
        <f aca="false">IF(B62="","",DATE(YEAR(B62),MONTH(B62),1))</f>
        <v/>
      </c>
      <c r="D62" s="6"/>
      <c r="E62" s="14" t="str">
        <f aca="false">IF(D62="","",IFERROR(INDEX(Pacientes!$Q:$Q,MATCH(D62,Pacientes!$A:$A,0))&amp;"","ID no existe"))</f>
        <v/>
      </c>
      <c r="F62" s="14" t="str">
        <f aca="false">IF(D62="","",IFERROR(INDEX(Pacientes!$D:$D,MATCH(D62,Pacientes!$A:$A,0))&amp;"","ID no existe"))</f>
        <v/>
      </c>
      <c r="G62" s="14" t="str">
        <f aca="false">IF(D62="","",IFERROR(INDEX(Pacientes!$E:$E,MATCH(D62,Pacientes!$A:$A,0))&amp;"","ID no existe"))</f>
        <v/>
      </c>
      <c r="H62" s="9"/>
      <c r="I62" s="6"/>
      <c r="J62" s="6"/>
      <c r="K62" s="6"/>
      <c r="L62" s="7"/>
      <c r="M62" s="7"/>
      <c r="N62" s="6"/>
      <c r="O62" s="6"/>
    </row>
    <row r="63" customFormat="false" ht="15" hidden="false" customHeight="false" outlineLevel="0" collapsed="false">
      <c r="A63" s="6"/>
      <c r="B63" s="10"/>
      <c r="C63" s="16" t="str">
        <f aca="false">IF(B63="","",DATE(YEAR(B63),MONTH(B63),1))</f>
        <v/>
      </c>
      <c r="D63" s="6"/>
      <c r="E63" s="14" t="str">
        <f aca="false">IF(D63="","",IFERROR(INDEX(Pacientes!$Q:$Q,MATCH(D63,Pacientes!$A:$A,0))&amp;"","ID no existe"))</f>
        <v/>
      </c>
      <c r="F63" s="14" t="str">
        <f aca="false">IF(D63="","",IFERROR(INDEX(Pacientes!$D:$D,MATCH(D63,Pacientes!$A:$A,0))&amp;"","ID no existe"))</f>
        <v/>
      </c>
      <c r="G63" s="14" t="str">
        <f aca="false">IF(D63="","",IFERROR(INDEX(Pacientes!$E:$E,MATCH(D63,Pacientes!$A:$A,0))&amp;"","ID no existe"))</f>
        <v/>
      </c>
      <c r="H63" s="9"/>
      <c r="I63" s="6"/>
      <c r="J63" s="6"/>
      <c r="K63" s="6"/>
      <c r="L63" s="7"/>
      <c r="M63" s="7"/>
      <c r="N63" s="6"/>
      <c r="O63" s="6"/>
    </row>
    <row r="64" customFormat="false" ht="15" hidden="false" customHeight="false" outlineLevel="0" collapsed="false">
      <c r="A64" s="6"/>
      <c r="B64" s="10"/>
      <c r="C64" s="16" t="str">
        <f aca="false">IF(B64="","",DATE(YEAR(B64),MONTH(B64),1))</f>
        <v/>
      </c>
      <c r="D64" s="6"/>
      <c r="E64" s="14" t="str">
        <f aca="false">IF(D64="","",IFERROR(INDEX(Pacientes!$Q:$Q,MATCH(D64,Pacientes!$A:$A,0))&amp;"","ID no existe"))</f>
        <v/>
      </c>
      <c r="F64" s="14" t="str">
        <f aca="false">IF(D64="","",IFERROR(INDEX(Pacientes!$D:$D,MATCH(D64,Pacientes!$A:$A,0))&amp;"","ID no existe"))</f>
        <v/>
      </c>
      <c r="G64" s="14" t="str">
        <f aca="false">IF(D64="","",IFERROR(INDEX(Pacientes!$E:$E,MATCH(D64,Pacientes!$A:$A,0))&amp;"","ID no existe"))</f>
        <v/>
      </c>
      <c r="H64" s="9"/>
      <c r="I64" s="6"/>
      <c r="J64" s="6"/>
      <c r="K64" s="6"/>
      <c r="L64" s="7"/>
      <c r="M64" s="7"/>
      <c r="N64" s="6"/>
      <c r="O64" s="6"/>
    </row>
    <row r="65" customFormat="false" ht="15" hidden="false" customHeight="false" outlineLevel="0" collapsed="false">
      <c r="A65" s="6"/>
      <c r="B65" s="10"/>
      <c r="C65" s="16" t="str">
        <f aca="false">IF(B65="","",DATE(YEAR(B65),MONTH(B65),1))</f>
        <v/>
      </c>
      <c r="D65" s="6"/>
      <c r="E65" s="14" t="str">
        <f aca="false">IF(D65="","",IFERROR(INDEX(Pacientes!$Q:$Q,MATCH(D65,Pacientes!$A:$A,0))&amp;"","ID no existe"))</f>
        <v/>
      </c>
      <c r="F65" s="14" t="str">
        <f aca="false">IF(D65="","",IFERROR(INDEX(Pacientes!$D:$D,MATCH(D65,Pacientes!$A:$A,0))&amp;"","ID no existe"))</f>
        <v/>
      </c>
      <c r="G65" s="14" t="str">
        <f aca="false">IF(D65="","",IFERROR(INDEX(Pacientes!$E:$E,MATCH(D65,Pacientes!$A:$A,0))&amp;"","ID no existe"))</f>
        <v/>
      </c>
      <c r="H65" s="9"/>
      <c r="I65" s="6"/>
      <c r="J65" s="6"/>
      <c r="K65" s="6"/>
      <c r="L65" s="7"/>
      <c r="M65" s="7"/>
      <c r="N65" s="6"/>
      <c r="O65" s="6"/>
    </row>
    <row r="66" customFormat="false" ht="15" hidden="false" customHeight="false" outlineLevel="0" collapsed="false">
      <c r="A66" s="6"/>
      <c r="B66" s="10"/>
      <c r="C66" s="16" t="str">
        <f aca="false">IF(B66="","",DATE(YEAR(B66),MONTH(B66),1))</f>
        <v/>
      </c>
      <c r="D66" s="6"/>
      <c r="E66" s="14" t="str">
        <f aca="false">IF(D66="","",IFERROR(INDEX(Pacientes!$Q:$Q,MATCH(D66,Pacientes!$A:$A,0))&amp;"","ID no existe"))</f>
        <v/>
      </c>
      <c r="F66" s="14" t="str">
        <f aca="false">IF(D66="","",IFERROR(INDEX(Pacientes!$D:$D,MATCH(D66,Pacientes!$A:$A,0))&amp;"","ID no existe"))</f>
        <v/>
      </c>
      <c r="G66" s="14" t="str">
        <f aca="false">IF(D66="","",IFERROR(INDEX(Pacientes!$E:$E,MATCH(D66,Pacientes!$A:$A,0))&amp;"","ID no existe"))</f>
        <v/>
      </c>
      <c r="H66" s="9"/>
      <c r="I66" s="6"/>
      <c r="J66" s="6"/>
      <c r="K66" s="6"/>
      <c r="L66" s="7"/>
      <c r="M66" s="7"/>
      <c r="N66" s="6"/>
      <c r="O66" s="6"/>
    </row>
    <row r="67" customFormat="false" ht="15" hidden="false" customHeight="false" outlineLevel="0" collapsed="false">
      <c r="A67" s="6"/>
      <c r="B67" s="10"/>
      <c r="C67" s="16" t="str">
        <f aca="false">IF(B67="","",DATE(YEAR(B67),MONTH(B67),1))</f>
        <v/>
      </c>
      <c r="D67" s="6"/>
      <c r="E67" s="14" t="str">
        <f aca="false">IF(D67="","",IFERROR(INDEX(Pacientes!$Q:$Q,MATCH(D67,Pacientes!$A:$A,0))&amp;"","ID no existe"))</f>
        <v/>
      </c>
      <c r="F67" s="14" t="str">
        <f aca="false">IF(D67="","",IFERROR(INDEX(Pacientes!$D:$D,MATCH(D67,Pacientes!$A:$A,0))&amp;"","ID no existe"))</f>
        <v/>
      </c>
      <c r="G67" s="14" t="str">
        <f aca="false">IF(D67="","",IFERROR(INDEX(Pacientes!$E:$E,MATCH(D67,Pacientes!$A:$A,0))&amp;"","ID no existe"))</f>
        <v/>
      </c>
      <c r="H67" s="9"/>
      <c r="I67" s="6"/>
      <c r="J67" s="6"/>
      <c r="K67" s="6"/>
      <c r="L67" s="7"/>
      <c r="M67" s="7"/>
      <c r="N67" s="6"/>
      <c r="O67" s="6"/>
    </row>
    <row r="68" customFormat="false" ht="15" hidden="false" customHeight="false" outlineLevel="0" collapsed="false">
      <c r="A68" s="6"/>
      <c r="B68" s="10"/>
      <c r="C68" s="16" t="str">
        <f aca="false">IF(B68="","",DATE(YEAR(B68),MONTH(B68),1))</f>
        <v/>
      </c>
      <c r="D68" s="6"/>
      <c r="E68" s="14" t="str">
        <f aca="false">IF(D68="","",IFERROR(INDEX(Pacientes!$Q:$Q,MATCH(D68,Pacientes!$A:$A,0))&amp;"","ID no existe"))</f>
        <v/>
      </c>
      <c r="F68" s="14" t="str">
        <f aca="false">IF(D68="","",IFERROR(INDEX(Pacientes!$D:$D,MATCH(D68,Pacientes!$A:$A,0))&amp;"","ID no existe"))</f>
        <v/>
      </c>
      <c r="G68" s="14" t="str">
        <f aca="false">IF(D68="","",IFERROR(INDEX(Pacientes!$E:$E,MATCH(D68,Pacientes!$A:$A,0))&amp;"","ID no existe"))</f>
        <v/>
      </c>
      <c r="H68" s="9"/>
      <c r="I68" s="6"/>
      <c r="J68" s="6"/>
      <c r="K68" s="6"/>
      <c r="L68" s="7"/>
      <c r="M68" s="7"/>
      <c r="N68" s="6"/>
      <c r="O68" s="6"/>
    </row>
    <row r="69" customFormat="false" ht="15" hidden="false" customHeight="false" outlineLevel="0" collapsed="false">
      <c r="A69" s="6"/>
      <c r="B69" s="10"/>
      <c r="C69" s="16" t="str">
        <f aca="false">IF(B69="","",DATE(YEAR(B69),MONTH(B69),1))</f>
        <v/>
      </c>
      <c r="D69" s="6"/>
      <c r="E69" s="14" t="str">
        <f aca="false">IF(D69="","",IFERROR(INDEX(Pacientes!$Q:$Q,MATCH(D69,Pacientes!$A:$A,0))&amp;"","ID no existe"))</f>
        <v/>
      </c>
      <c r="F69" s="14" t="str">
        <f aca="false">IF(D69="","",IFERROR(INDEX(Pacientes!$D:$D,MATCH(D69,Pacientes!$A:$A,0))&amp;"","ID no existe"))</f>
        <v/>
      </c>
      <c r="G69" s="14" t="str">
        <f aca="false">IF(D69="","",IFERROR(INDEX(Pacientes!$E:$E,MATCH(D69,Pacientes!$A:$A,0))&amp;"","ID no existe"))</f>
        <v/>
      </c>
      <c r="H69" s="9"/>
      <c r="I69" s="6"/>
      <c r="J69" s="6"/>
      <c r="K69" s="6"/>
      <c r="L69" s="7"/>
      <c r="M69" s="7"/>
      <c r="N69" s="6"/>
      <c r="O69" s="6"/>
    </row>
    <row r="70" customFormat="false" ht="15" hidden="false" customHeight="false" outlineLevel="0" collapsed="false">
      <c r="A70" s="6"/>
      <c r="B70" s="10"/>
      <c r="C70" s="16" t="str">
        <f aca="false">IF(B70="","",DATE(YEAR(B70),MONTH(B70),1))</f>
        <v/>
      </c>
      <c r="D70" s="6"/>
      <c r="E70" s="14" t="str">
        <f aca="false">IF(D70="","",IFERROR(INDEX(Pacientes!$Q:$Q,MATCH(D70,Pacientes!$A:$A,0))&amp;"","ID no existe"))</f>
        <v/>
      </c>
      <c r="F70" s="14" t="str">
        <f aca="false">IF(D70="","",IFERROR(INDEX(Pacientes!$D:$D,MATCH(D70,Pacientes!$A:$A,0))&amp;"","ID no existe"))</f>
        <v/>
      </c>
      <c r="G70" s="14" t="str">
        <f aca="false">IF(D70="","",IFERROR(INDEX(Pacientes!$E:$E,MATCH(D70,Pacientes!$A:$A,0))&amp;"","ID no existe"))</f>
        <v/>
      </c>
      <c r="H70" s="9"/>
      <c r="I70" s="6"/>
      <c r="J70" s="6"/>
      <c r="K70" s="6"/>
      <c r="L70" s="7"/>
      <c r="M70" s="7"/>
      <c r="N70" s="6"/>
      <c r="O70" s="6"/>
    </row>
    <row r="71" customFormat="false" ht="15" hidden="false" customHeight="false" outlineLevel="0" collapsed="false">
      <c r="A71" s="6"/>
      <c r="B71" s="10"/>
      <c r="C71" s="16" t="str">
        <f aca="false">IF(B71="","",DATE(YEAR(B71),MONTH(B71),1))</f>
        <v/>
      </c>
      <c r="D71" s="6"/>
      <c r="E71" s="14" t="str">
        <f aca="false">IF(D71="","",IFERROR(INDEX(Pacientes!$Q:$Q,MATCH(D71,Pacientes!$A:$A,0))&amp;"","ID no existe"))</f>
        <v/>
      </c>
      <c r="F71" s="14" t="str">
        <f aca="false">IF(D71="","",IFERROR(INDEX(Pacientes!$D:$D,MATCH(D71,Pacientes!$A:$A,0))&amp;"","ID no existe"))</f>
        <v/>
      </c>
      <c r="G71" s="14" t="str">
        <f aca="false">IF(D71="","",IFERROR(INDEX(Pacientes!$E:$E,MATCH(D71,Pacientes!$A:$A,0))&amp;"","ID no existe"))</f>
        <v/>
      </c>
      <c r="H71" s="9"/>
      <c r="I71" s="6"/>
      <c r="J71" s="6"/>
      <c r="K71" s="6"/>
      <c r="L71" s="7"/>
      <c r="M71" s="7"/>
      <c r="N71" s="6"/>
      <c r="O71" s="6"/>
    </row>
    <row r="72" customFormat="false" ht="15" hidden="false" customHeight="false" outlineLevel="0" collapsed="false">
      <c r="A72" s="6"/>
      <c r="B72" s="10"/>
      <c r="C72" s="16" t="str">
        <f aca="false">IF(B72="","",DATE(YEAR(B72),MONTH(B72),1))</f>
        <v/>
      </c>
      <c r="D72" s="6"/>
      <c r="E72" s="14" t="str">
        <f aca="false">IF(D72="","",IFERROR(INDEX(Pacientes!$Q:$Q,MATCH(D72,Pacientes!$A:$A,0))&amp;"","ID no existe"))</f>
        <v/>
      </c>
      <c r="F72" s="14" t="str">
        <f aca="false">IF(D72="","",IFERROR(INDEX(Pacientes!$D:$D,MATCH(D72,Pacientes!$A:$A,0))&amp;"","ID no existe"))</f>
        <v/>
      </c>
      <c r="G72" s="14" t="str">
        <f aca="false">IF(D72="","",IFERROR(INDEX(Pacientes!$E:$E,MATCH(D72,Pacientes!$A:$A,0))&amp;"","ID no existe"))</f>
        <v/>
      </c>
      <c r="H72" s="9"/>
      <c r="I72" s="6"/>
      <c r="J72" s="6"/>
      <c r="K72" s="6"/>
      <c r="L72" s="7"/>
      <c r="M72" s="7"/>
      <c r="N72" s="6"/>
      <c r="O72" s="6"/>
    </row>
    <row r="73" customFormat="false" ht="15" hidden="false" customHeight="false" outlineLevel="0" collapsed="false">
      <c r="A73" s="6"/>
      <c r="B73" s="10"/>
      <c r="C73" s="16" t="str">
        <f aca="false">IF(B73="","",DATE(YEAR(B73),MONTH(B73),1))</f>
        <v/>
      </c>
      <c r="D73" s="6"/>
      <c r="E73" s="14" t="str">
        <f aca="false">IF(D73="","",IFERROR(INDEX(Pacientes!$Q:$Q,MATCH(D73,Pacientes!$A:$A,0))&amp;"","ID no existe"))</f>
        <v/>
      </c>
      <c r="F73" s="14" t="str">
        <f aca="false">IF(D73="","",IFERROR(INDEX(Pacientes!$D:$D,MATCH(D73,Pacientes!$A:$A,0))&amp;"","ID no existe"))</f>
        <v/>
      </c>
      <c r="G73" s="14" t="str">
        <f aca="false">IF(D73="","",IFERROR(INDEX(Pacientes!$E:$E,MATCH(D73,Pacientes!$A:$A,0))&amp;"","ID no existe"))</f>
        <v/>
      </c>
      <c r="H73" s="9"/>
      <c r="I73" s="6"/>
      <c r="J73" s="6"/>
      <c r="K73" s="6"/>
      <c r="L73" s="7"/>
      <c r="M73" s="7"/>
      <c r="N73" s="6"/>
      <c r="O73" s="6"/>
    </row>
    <row r="74" customFormat="false" ht="15" hidden="false" customHeight="false" outlineLevel="0" collapsed="false">
      <c r="A74" s="6"/>
      <c r="B74" s="10"/>
      <c r="C74" s="16" t="str">
        <f aca="false">IF(B74="","",DATE(YEAR(B74),MONTH(B74),1))</f>
        <v/>
      </c>
      <c r="D74" s="6"/>
      <c r="E74" s="14" t="str">
        <f aca="false">IF(D74="","",IFERROR(INDEX(Pacientes!$Q:$Q,MATCH(D74,Pacientes!$A:$A,0))&amp;"","ID no existe"))</f>
        <v/>
      </c>
      <c r="F74" s="14" t="str">
        <f aca="false">IF(D74="","",IFERROR(INDEX(Pacientes!$D:$D,MATCH(D74,Pacientes!$A:$A,0))&amp;"","ID no existe"))</f>
        <v/>
      </c>
      <c r="G74" s="14" t="str">
        <f aca="false">IF(D74="","",IFERROR(INDEX(Pacientes!$E:$E,MATCH(D74,Pacientes!$A:$A,0))&amp;"","ID no existe"))</f>
        <v/>
      </c>
      <c r="H74" s="9"/>
      <c r="I74" s="6"/>
      <c r="J74" s="6"/>
      <c r="K74" s="6"/>
      <c r="L74" s="7"/>
      <c r="M74" s="7"/>
      <c r="N74" s="6"/>
      <c r="O74" s="6"/>
    </row>
    <row r="75" customFormat="false" ht="15" hidden="false" customHeight="false" outlineLevel="0" collapsed="false">
      <c r="A75" s="6"/>
      <c r="B75" s="10"/>
      <c r="C75" s="16" t="str">
        <f aca="false">IF(B75="","",DATE(YEAR(B75),MONTH(B75),1))</f>
        <v/>
      </c>
      <c r="D75" s="6"/>
      <c r="E75" s="14" t="str">
        <f aca="false">IF(D75="","",IFERROR(INDEX(Pacientes!$Q:$Q,MATCH(D75,Pacientes!$A:$A,0))&amp;"","ID no existe"))</f>
        <v/>
      </c>
      <c r="F75" s="14" t="str">
        <f aca="false">IF(D75="","",IFERROR(INDEX(Pacientes!$D:$D,MATCH(D75,Pacientes!$A:$A,0))&amp;"","ID no existe"))</f>
        <v/>
      </c>
      <c r="G75" s="14" t="str">
        <f aca="false">IF(D75="","",IFERROR(INDEX(Pacientes!$E:$E,MATCH(D75,Pacientes!$A:$A,0))&amp;"","ID no existe"))</f>
        <v/>
      </c>
      <c r="H75" s="9"/>
      <c r="I75" s="6"/>
      <c r="J75" s="6"/>
      <c r="K75" s="6"/>
      <c r="L75" s="7"/>
      <c r="M75" s="7"/>
      <c r="N75" s="6"/>
      <c r="O75" s="6"/>
    </row>
    <row r="76" customFormat="false" ht="15" hidden="false" customHeight="false" outlineLevel="0" collapsed="false">
      <c r="A76" s="6"/>
      <c r="B76" s="10"/>
      <c r="C76" s="16" t="str">
        <f aca="false">IF(B76="","",DATE(YEAR(B76),MONTH(B76),1))</f>
        <v/>
      </c>
      <c r="D76" s="6"/>
      <c r="E76" s="14" t="str">
        <f aca="false">IF(D76="","",IFERROR(INDEX(Pacientes!$Q:$Q,MATCH(D76,Pacientes!$A:$A,0))&amp;"","ID no existe"))</f>
        <v/>
      </c>
      <c r="F76" s="14" t="str">
        <f aca="false">IF(D76="","",IFERROR(INDEX(Pacientes!$D:$D,MATCH(D76,Pacientes!$A:$A,0))&amp;"","ID no existe"))</f>
        <v/>
      </c>
      <c r="G76" s="14" t="str">
        <f aca="false">IF(D76="","",IFERROR(INDEX(Pacientes!$E:$E,MATCH(D76,Pacientes!$A:$A,0))&amp;"","ID no existe"))</f>
        <v/>
      </c>
      <c r="H76" s="9"/>
      <c r="I76" s="6"/>
      <c r="J76" s="6"/>
      <c r="K76" s="6"/>
      <c r="L76" s="7"/>
      <c r="M76" s="7"/>
      <c r="N76" s="6"/>
      <c r="O76" s="6"/>
    </row>
    <row r="77" customFormat="false" ht="15" hidden="false" customHeight="false" outlineLevel="0" collapsed="false">
      <c r="A77" s="6"/>
      <c r="B77" s="10"/>
      <c r="C77" s="16" t="str">
        <f aca="false">IF(B77="","",DATE(YEAR(B77),MONTH(B77),1))</f>
        <v/>
      </c>
      <c r="D77" s="6"/>
      <c r="E77" s="14" t="str">
        <f aca="false">IF(D77="","",IFERROR(INDEX(Pacientes!$Q:$Q,MATCH(D77,Pacientes!$A:$A,0))&amp;"","ID no existe"))</f>
        <v/>
      </c>
      <c r="F77" s="14" t="str">
        <f aca="false">IF(D77="","",IFERROR(INDEX(Pacientes!$D:$D,MATCH(D77,Pacientes!$A:$A,0))&amp;"","ID no existe"))</f>
        <v/>
      </c>
      <c r="G77" s="14" t="str">
        <f aca="false">IF(D77="","",IFERROR(INDEX(Pacientes!$E:$E,MATCH(D77,Pacientes!$A:$A,0))&amp;"","ID no existe"))</f>
        <v/>
      </c>
      <c r="H77" s="9"/>
      <c r="I77" s="6"/>
      <c r="J77" s="6"/>
      <c r="K77" s="6"/>
      <c r="L77" s="7"/>
      <c r="M77" s="7"/>
      <c r="N77" s="6"/>
      <c r="O77" s="6"/>
    </row>
    <row r="78" customFormat="false" ht="15" hidden="false" customHeight="false" outlineLevel="0" collapsed="false">
      <c r="A78" s="6"/>
      <c r="B78" s="10"/>
      <c r="C78" s="16" t="str">
        <f aca="false">IF(B78="","",DATE(YEAR(B78),MONTH(B78),1))</f>
        <v/>
      </c>
      <c r="D78" s="6"/>
      <c r="E78" s="14" t="str">
        <f aca="false">IF(D78="","",IFERROR(INDEX(Pacientes!$Q:$Q,MATCH(D78,Pacientes!$A:$A,0))&amp;"","ID no existe"))</f>
        <v/>
      </c>
      <c r="F78" s="14" t="str">
        <f aca="false">IF(D78="","",IFERROR(INDEX(Pacientes!$D:$D,MATCH(D78,Pacientes!$A:$A,0))&amp;"","ID no existe"))</f>
        <v/>
      </c>
      <c r="G78" s="14" t="str">
        <f aca="false">IF(D78="","",IFERROR(INDEX(Pacientes!$E:$E,MATCH(D78,Pacientes!$A:$A,0))&amp;"","ID no existe"))</f>
        <v/>
      </c>
      <c r="H78" s="9"/>
      <c r="I78" s="6"/>
      <c r="J78" s="6"/>
      <c r="K78" s="6"/>
      <c r="L78" s="7"/>
      <c r="M78" s="7"/>
      <c r="N78" s="6"/>
      <c r="O78" s="6"/>
    </row>
    <row r="79" customFormat="false" ht="15" hidden="false" customHeight="false" outlineLevel="0" collapsed="false">
      <c r="A79" s="6"/>
      <c r="B79" s="10"/>
      <c r="C79" s="16" t="str">
        <f aca="false">IF(B79="","",DATE(YEAR(B79),MONTH(B79),1))</f>
        <v/>
      </c>
      <c r="D79" s="6"/>
      <c r="E79" s="14" t="str">
        <f aca="false">IF(D79="","",IFERROR(INDEX(Pacientes!$Q:$Q,MATCH(D79,Pacientes!$A:$A,0))&amp;"","ID no existe"))</f>
        <v/>
      </c>
      <c r="F79" s="14" t="str">
        <f aca="false">IF(D79="","",IFERROR(INDEX(Pacientes!$D:$D,MATCH(D79,Pacientes!$A:$A,0))&amp;"","ID no existe"))</f>
        <v/>
      </c>
      <c r="G79" s="14" t="str">
        <f aca="false">IF(D79="","",IFERROR(INDEX(Pacientes!$E:$E,MATCH(D79,Pacientes!$A:$A,0))&amp;"","ID no existe"))</f>
        <v/>
      </c>
      <c r="H79" s="9"/>
      <c r="I79" s="6"/>
      <c r="J79" s="6"/>
      <c r="K79" s="6"/>
      <c r="L79" s="7"/>
      <c r="M79" s="7"/>
      <c r="N79" s="6"/>
      <c r="O79" s="6"/>
    </row>
    <row r="80" customFormat="false" ht="15" hidden="false" customHeight="false" outlineLevel="0" collapsed="false">
      <c r="A80" s="6"/>
      <c r="B80" s="10"/>
      <c r="C80" s="16" t="str">
        <f aca="false">IF(B80="","",DATE(YEAR(B80),MONTH(B80),1))</f>
        <v/>
      </c>
      <c r="D80" s="6"/>
      <c r="E80" s="14" t="str">
        <f aca="false">IF(D80="","",IFERROR(INDEX(Pacientes!$Q:$Q,MATCH(D80,Pacientes!$A:$A,0))&amp;"","ID no existe"))</f>
        <v/>
      </c>
      <c r="F80" s="14" t="str">
        <f aca="false">IF(D80="","",IFERROR(INDEX(Pacientes!$D:$D,MATCH(D80,Pacientes!$A:$A,0))&amp;"","ID no existe"))</f>
        <v/>
      </c>
      <c r="G80" s="14" t="str">
        <f aca="false">IF(D80="","",IFERROR(INDEX(Pacientes!$E:$E,MATCH(D80,Pacientes!$A:$A,0))&amp;"","ID no existe"))</f>
        <v/>
      </c>
      <c r="H80" s="9"/>
      <c r="I80" s="6"/>
      <c r="J80" s="6"/>
      <c r="K80" s="6"/>
      <c r="L80" s="7"/>
      <c r="M80" s="7"/>
      <c r="N80" s="6"/>
      <c r="O80" s="6"/>
    </row>
    <row r="81" customFormat="false" ht="15" hidden="false" customHeight="false" outlineLevel="0" collapsed="false">
      <c r="A81" s="6"/>
      <c r="B81" s="10"/>
      <c r="C81" s="16" t="str">
        <f aca="false">IF(B81="","",DATE(YEAR(B81),MONTH(B81),1))</f>
        <v/>
      </c>
      <c r="D81" s="6"/>
      <c r="E81" s="14" t="str">
        <f aca="false">IF(D81="","",IFERROR(INDEX(Pacientes!$Q:$Q,MATCH(D81,Pacientes!$A:$A,0))&amp;"","ID no existe"))</f>
        <v/>
      </c>
      <c r="F81" s="14" t="str">
        <f aca="false">IF(D81="","",IFERROR(INDEX(Pacientes!$D:$D,MATCH(D81,Pacientes!$A:$A,0))&amp;"","ID no existe"))</f>
        <v/>
      </c>
      <c r="G81" s="14" t="str">
        <f aca="false">IF(D81="","",IFERROR(INDEX(Pacientes!$E:$E,MATCH(D81,Pacientes!$A:$A,0))&amp;"","ID no existe"))</f>
        <v/>
      </c>
      <c r="H81" s="9"/>
      <c r="I81" s="6"/>
      <c r="J81" s="6"/>
      <c r="K81" s="6"/>
      <c r="L81" s="7"/>
      <c r="M81" s="7"/>
      <c r="N81" s="6"/>
      <c r="O81" s="6"/>
    </row>
    <row r="82" customFormat="false" ht="15" hidden="false" customHeight="false" outlineLevel="0" collapsed="false">
      <c r="A82" s="6"/>
      <c r="B82" s="10"/>
      <c r="C82" s="16" t="str">
        <f aca="false">IF(B82="","",DATE(YEAR(B82),MONTH(B82),1))</f>
        <v/>
      </c>
      <c r="D82" s="6"/>
      <c r="E82" s="14" t="str">
        <f aca="false">IF(D82="","",IFERROR(INDEX(Pacientes!$Q:$Q,MATCH(D82,Pacientes!$A:$A,0))&amp;"","ID no existe"))</f>
        <v/>
      </c>
      <c r="F82" s="14" t="str">
        <f aca="false">IF(D82="","",IFERROR(INDEX(Pacientes!$D:$D,MATCH(D82,Pacientes!$A:$A,0))&amp;"","ID no existe"))</f>
        <v/>
      </c>
      <c r="G82" s="14" t="str">
        <f aca="false">IF(D82="","",IFERROR(INDEX(Pacientes!$E:$E,MATCH(D82,Pacientes!$A:$A,0))&amp;"","ID no existe"))</f>
        <v/>
      </c>
      <c r="H82" s="9"/>
      <c r="I82" s="6"/>
      <c r="J82" s="6"/>
      <c r="K82" s="6"/>
      <c r="L82" s="7"/>
      <c r="M82" s="7"/>
      <c r="N82" s="6"/>
      <c r="O82" s="6"/>
    </row>
    <row r="83" customFormat="false" ht="15" hidden="false" customHeight="false" outlineLevel="0" collapsed="false">
      <c r="A83" s="6"/>
      <c r="B83" s="10"/>
      <c r="C83" s="16" t="str">
        <f aca="false">IF(B83="","",DATE(YEAR(B83),MONTH(B83),1))</f>
        <v/>
      </c>
      <c r="D83" s="6"/>
      <c r="E83" s="14" t="str">
        <f aca="false">IF(D83="","",IFERROR(INDEX(Pacientes!$Q:$Q,MATCH(D83,Pacientes!$A:$A,0))&amp;"","ID no existe"))</f>
        <v/>
      </c>
      <c r="F83" s="14" t="str">
        <f aca="false">IF(D83="","",IFERROR(INDEX(Pacientes!$D:$D,MATCH(D83,Pacientes!$A:$A,0))&amp;"","ID no existe"))</f>
        <v/>
      </c>
      <c r="G83" s="14" t="str">
        <f aca="false">IF(D83="","",IFERROR(INDEX(Pacientes!$E:$E,MATCH(D83,Pacientes!$A:$A,0))&amp;"","ID no existe"))</f>
        <v/>
      </c>
      <c r="H83" s="9"/>
      <c r="I83" s="6"/>
      <c r="J83" s="6"/>
      <c r="K83" s="6"/>
      <c r="L83" s="7"/>
      <c r="M83" s="7"/>
      <c r="N83" s="6"/>
      <c r="O83" s="6"/>
    </row>
    <row r="84" customFormat="false" ht="15" hidden="false" customHeight="false" outlineLevel="0" collapsed="false">
      <c r="A84" s="6"/>
      <c r="B84" s="10"/>
      <c r="C84" s="16" t="str">
        <f aca="false">IF(B84="","",DATE(YEAR(B84),MONTH(B84),1))</f>
        <v/>
      </c>
      <c r="D84" s="6"/>
      <c r="E84" s="14" t="str">
        <f aca="false">IF(D84="","",IFERROR(INDEX(Pacientes!$Q:$Q,MATCH(D84,Pacientes!$A:$A,0))&amp;"","ID no existe"))</f>
        <v/>
      </c>
      <c r="F84" s="14" t="str">
        <f aca="false">IF(D84="","",IFERROR(INDEX(Pacientes!$D:$D,MATCH(D84,Pacientes!$A:$A,0))&amp;"","ID no existe"))</f>
        <v/>
      </c>
      <c r="G84" s="14" t="str">
        <f aca="false">IF(D84="","",IFERROR(INDEX(Pacientes!$E:$E,MATCH(D84,Pacientes!$A:$A,0))&amp;"","ID no existe"))</f>
        <v/>
      </c>
      <c r="H84" s="9"/>
      <c r="I84" s="6"/>
      <c r="J84" s="6"/>
      <c r="K84" s="6"/>
      <c r="L84" s="7"/>
      <c r="M84" s="7"/>
      <c r="N84" s="6"/>
      <c r="O84" s="6"/>
    </row>
    <row r="85" customFormat="false" ht="15" hidden="false" customHeight="false" outlineLevel="0" collapsed="false">
      <c r="A85" s="6"/>
      <c r="B85" s="10"/>
      <c r="C85" s="16" t="str">
        <f aca="false">IF(B85="","",DATE(YEAR(B85),MONTH(B85),1))</f>
        <v/>
      </c>
      <c r="D85" s="6"/>
      <c r="E85" s="14" t="str">
        <f aca="false">IF(D85="","",IFERROR(INDEX(Pacientes!$Q:$Q,MATCH(D85,Pacientes!$A:$A,0))&amp;"","ID no existe"))</f>
        <v/>
      </c>
      <c r="F85" s="14" t="str">
        <f aca="false">IF(D85="","",IFERROR(INDEX(Pacientes!$D:$D,MATCH(D85,Pacientes!$A:$A,0))&amp;"","ID no existe"))</f>
        <v/>
      </c>
      <c r="G85" s="14" t="str">
        <f aca="false">IF(D85="","",IFERROR(INDEX(Pacientes!$E:$E,MATCH(D85,Pacientes!$A:$A,0))&amp;"","ID no existe"))</f>
        <v/>
      </c>
      <c r="H85" s="9"/>
      <c r="I85" s="6"/>
      <c r="J85" s="6"/>
      <c r="K85" s="6"/>
      <c r="L85" s="7"/>
      <c r="M85" s="7"/>
      <c r="N85" s="6"/>
      <c r="O85" s="6"/>
    </row>
    <row r="86" customFormat="false" ht="15" hidden="false" customHeight="false" outlineLevel="0" collapsed="false">
      <c r="A86" s="6"/>
      <c r="B86" s="10"/>
      <c r="C86" s="16" t="str">
        <f aca="false">IF(B86="","",DATE(YEAR(B86),MONTH(B86),1))</f>
        <v/>
      </c>
      <c r="D86" s="6"/>
      <c r="E86" s="14" t="str">
        <f aca="false">IF(D86="","",IFERROR(INDEX(Pacientes!$Q:$Q,MATCH(D86,Pacientes!$A:$A,0))&amp;"","ID no existe"))</f>
        <v/>
      </c>
      <c r="F86" s="14" t="str">
        <f aca="false">IF(D86="","",IFERROR(INDEX(Pacientes!$D:$D,MATCH(D86,Pacientes!$A:$A,0))&amp;"","ID no existe"))</f>
        <v/>
      </c>
      <c r="G86" s="14" t="str">
        <f aca="false">IF(D86="","",IFERROR(INDEX(Pacientes!$E:$E,MATCH(D86,Pacientes!$A:$A,0))&amp;"","ID no existe"))</f>
        <v/>
      </c>
      <c r="H86" s="9"/>
      <c r="I86" s="6"/>
      <c r="J86" s="6"/>
      <c r="K86" s="6"/>
      <c r="L86" s="7"/>
      <c r="M86" s="7"/>
      <c r="N86" s="6"/>
      <c r="O86" s="6"/>
    </row>
    <row r="87" customFormat="false" ht="15" hidden="false" customHeight="false" outlineLevel="0" collapsed="false">
      <c r="A87" s="6"/>
      <c r="B87" s="10"/>
      <c r="C87" s="16" t="str">
        <f aca="false">IF(B87="","",DATE(YEAR(B87),MONTH(B87),1))</f>
        <v/>
      </c>
      <c r="D87" s="6"/>
      <c r="E87" s="14" t="str">
        <f aca="false">IF(D87="","",IFERROR(INDEX(Pacientes!$Q:$Q,MATCH(D87,Pacientes!$A:$A,0))&amp;"","ID no existe"))</f>
        <v/>
      </c>
      <c r="F87" s="14" t="str">
        <f aca="false">IF(D87="","",IFERROR(INDEX(Pacientes!$D:$D,MATCH(D87,Pacientes!$A:$A,0))&amp;"","ID no existe"))</f>
        <v/>
      </c>
      <c r="G87" s="14" t="str">
        <f aca="false">IF(D87="","",IFERROR(INDEX(Pacientes!$E:$E,MATCH(D87,Pacientes!$A:$A,0))&amp;"","ID no existe"))</f>
        <v/>
      </c>
      <c r="H87" s="9"/>
      <c r="I87" s="6"/>
      <c r="J87" s="6"/>
      <c r="K87" s="6"/>
      <c r="L87" s="7"/>
      <c r="M87" s="7"/>
      <c r="N87" s="6"/>
      <c r="O87" s="6"/>
    </row>
    <row r="88" customFormat="false" ht="15" hidden="false" customHeight="false" outlineLevel="0" collapsed="false">
      <c r="A88" s="6"/>
      <c r="B88" s="10"/>
      <c r="C88" s="16" t="str">
        <f aca="false">IF(B88="","",DATE(YEAR(B88),MONTH(B88),1))</f>
        <v/>
      </c>
      <c r="D88" s="6"/>
      <c r="E88" s="14" t="str">
        <f aca="false">IF(D88="","",IFERROR(INDEX(Pacientes!$Q:$Q,MATCH(D88,Pacientes!$A:$A,0))&amp;"","ID no existe"))</f>
        <v/>
      </c>
      <c r="F88" s="14" t="str">
        <f aca="false">IF(D88="","",IFERROR(INDEX(Pacientes!$D:$D,MATCH(D88,Pacientes!$A:$A,0))&amp;"","ID no existe"))</f>
        <v/>
      </c>
      <c r="G88" s="14" t="str">
        <f aca="false">IF(D88="","",IFERROR(INDEX(Pacientes!$E:$E,MATCH(D88,Pacientes!$A:$A,0))&amp;"","ID no existe"))</f>
        <v/>
      </c>
      <c r="H88" s="9"/>
      <c r="I88" s="6"/>
      <c r="J88" s="6"/>
      <c r="K88" s="6"/>
      <c r="L88" s="7"/>
      <c r="M88" s="7"/>
      <c r="N88" s="6"/>
      <c r="O88" s="6"/>
    </row>
    <row r="89" customFormat="false" ht="15" hidden="false" customHeight="false" outlineLevel="0" collapsed="false">
      <c r="A89" s="6"/>
      <c r="B89" s="10"/>
      <c r="C89" s="16" t="str">
        <f aca="false">IF(B89="","",DATE(YEAR(B89),MONTH(B89),1))</f>
        <v/>
      </c>
      <c r="D89" s="6"/>
      <c r="E89" s="14" t="str">
        <f aca="false">IF(D89="","",IFERROR(INDEX(Pacientes!$Q:$Q,MATCH(D89,Pacientes!$A:$A,0))&amp;"","ID no existe"))</f>
        <v/>
      </c>
      <c r="F89" s="14" t="str">
        <f aca="false">IF(D89="","",IFERROR(INDEX(Pacientes!$D:$D,MATCH(D89,Pacientes!$A:$A,0))&amp;"","ID no existe"))</f>
        <v/>
      </c>
      <c r="G89" s="14" t="str">
        <f aca="false">IF(D89="","",IFERROR(INDEX(Pacientes!$E:$E,MATCH(D89,Pacientes!$A:$A,0))&amp;"","ID no existe"))</f>
        <v/>
      </c>
      <c r="H89" s="9"/>
      <c r="I89" s="6"/>
      <c r="J89" s="6"/>
      <c r="K89" s="6"/>
      <c r="L89" s="7"/>
      <c r="M89" s="7"/>
      <c r="N89" s="6"/>
      <c r="O89" s="6"/>
    </row>
    <row r="90" customFormat="false" ht="15" hidden="false" customHeight="false" outlineLevel="0" collapsed="false">
      <c r="A90" s="6"/>
      <c r="B90" s="10"/>
      <c r="C90" s="16" t="str">
        <f aca="false">IF(B90="","",DATE(YEAR(B90),MONTH(B90),1))</f>
        <v/>
      </c>
      <c r="D90" s="6"/>
      <c r="E90" s="14" t="str">
        <f aca="false">IF(D90="","",IFERROR(INDEX(Pacientes!$Q:$Q,MATCH(D90,Pacientes!$A:$A,0))&amp;"","ID no existe"))</f>
        <v/>
      </c>
      <c r="F90" s="14" t="str">
        <f aca="false">IF(D90="","",IFERROR(INDEX(Pacientes!$D:$D,MATCH(D90,Pacientes!$A:$A,0))&amp;"","ID no existe"))</f>
        <v/>
      </c>
      <c r="G90" s="14" t="str">
        <f aca="false">IF(D90="","",IFERROR(INDEX(Pacientes!$E:$E,MATCH(D90,Pacientes!$A:$A,0))&amp;"","ID no existe"))</f>
        <v/>
      </c>
      <c r="H90" s="9"/>
      <c r="I90" s="6"/>
      <c r="J90" s="6"/>
      <c r="K90" s="6"/>
      <c r="L90" s="7"/>
      <c r="M90" s="7"/>
      <c r="N90" s="6"/>
      <c r="O90" s="6"/>
    </row>
    <row r="91" customFormat="false" ht="15" hidden="false" customHeight="false" outlineLevel="0" collapsed="false">
      <c r="A91" s="6"/>
      <c r="B91" s="10"/>
      <c r="C91" s="16" t="str">
        <f aca="false">IF(B91="","",DATE(YEAR(B91),MONTH(B91),1))</f>
        <v/>
      </c>
      <c r="D91" s="6"/>
      <c r="E91" s="14" t="str">
        <f aca="false">IF(D91="","",IFERROR(INDEX(Pacientes!$Q:$Q,MATCH(D91,Pacientes!$A:$A,0))&amp;"","ID no existe"))</f>
        <v/>
      </c>
      <c r="F91" s="14" t="str">
        <f aca="false">IF(D91="","",IFERROR(INDEX(Pacientes!$D:$D,MATCH(D91,Pacientes!$A:$A,0))&amp;"","ID no existe"))</f>
        <v/>
      </c>
      <c r="G91" s="14" t="str">
        <f aca="false">IF(D91="","",IFERROR(INDEX(Pacientes!$E:$E,MATCH(D91,Pacientes!$A:$A,0))&amp;"","ID no existe"))</f>
        <v/>
      </c>
      <c r="H91" s="9"/>
      <c r="I91" s="6"/>
      <c r="J91" s="6"/>
      <c r="K91" s="6"/>
      <c r="L91" s="7"/>
      <c r="M91" s="7"/>
      <c r="N91" s="6"/>
      <c r="O91" s="6"/>
    </row>
    <row r="92" customFormat="false" ht="15" hidden="false" customHeight="false" outlineLevel="0" collapsed="false">
      <c r="A92" s="6"/>
      <c r="B92" s="10"/>
      <c r="C92" s="16" t="str">
        <f aca="false">IF(B92="","",DATE(YEAR(B92),MONTH(B92),1))</f>
        <v/>
      </c>
      <c r="D92" s="6"/>
      <c r="E92" s="14" t="str">
        <f aca="false">IF(D92="","",IFERROR(INDEX(Pacientes!$Q:$Q,MATCH(D92,Pacientes!$A:$A,0))&amp;"","ID no existe"))</f>
        <v/>
      </c>
      <c r="F92" s="14" t="str">
        <f aca="false">IF(D92="","",IFERROR(INDEX(Pacientes!$D:$D,MATCH(D92,Pacientes!$A:$A,0))&amp;"","ID no existe"))</f>
        <v/>
      </c>
      <c r="G92" s="14" t="str">
        <f aca="false">IF(D92="","",IFERROR(INDEX(Pacientes!$E:$E,MATCH(D92,Pacientes!$A:$A,0))&amp;"","ID no existe"))</f>
        <v/>
      </c>
      <c r="H92" s="9"/>
      <c r="I92" s="6"/>
      <c r="J92" s="6"/>
      <c r="K92" s="6"/>
      <c r="L92" s="7"/>
      <c r="M92" s="7"/>
      <c r="N92" s="6"/>
      <c r="O92" s="6"/>
    </row>
    <row r="93" customFormat="false" ht="15" hidden="false" customHeight="false" outlineLevel="0" collapsed="false">
      <c r="A93" s="6"/>
      <c r="B93" s="10"/>
      <c r="C93" s="16" t="str">
        <f aca="false">IF(B93="","",DATE(YEAR(B93),MONTH(B93),1))</f>
        <v/>
      </c>
      <c r="D93" s="6"/>
      <c r="E93" s="14" t="str">
        <f aca="false">IF(D93="","",IFERROR(INDEX(Pacientes!$Q:$Q,MATCH(D93,Pacientes!$A:$A,0))&amp;"","ID no existe"))</f>
        <v/>
      </c>
      <c r="F93" s="14" t="str">
        <f aca="false">IF(D93="","",IFERROR(INDEX(Pacientes!$D:$D,MATCH(D93,Pacientes!$A:$A,0))&amp;"","ID no existe"))</f>
        <v/>
      </c>
      <c r="G93" s="14" t="str">
        <f aca="false">IF(D93="","",IFERROR(INDEX(Pacientes!$E:$E,MATCH(D93,Pacientes!$A:$A,0))&amp;"","ID no existe"))</f>
        <v/>
      </c>
      <c r="H93" s="9"/>
      <c r="I93" s="6"/>
      <c r="J93" s="6"/>
      <c r="K93" s="6"/>
      <c r="L93" s="7"/>
      <c r="M93" s="7"/>
      <c r="N93" s="6"/>
      <c r="O93" s="6"/>
    </row>
    <row r="94" customFormat="false" ht="15" hidden="false" customHeight="false" outlineLevel="0" collapsed="false">
      <c r="A94" s="6"/>
      <c r="B94" s="10"/>
      <c r="C94" s="16" t="str">
        <f aca="false">IF(B94="","",DATE(YEAR(B94),MONTH(B94),1))</f>
        <v/>
      </c>
      <c r="D94" s="6"/>
      <c r="E94" s="14" t="str">
        <f aca="false">IF(D94="","",IFERROR(INDEX(Pacientes!$Q:$Q,MATCH(D94,Pacientes!$A:$A,0))&amp;"","ID no existe"))</f>
        <v/>
      </c>
      <c r="F94" s="14" t="str">
        <f aca="false">IF(D94="","",IFERROR(INDEX(Pacientes!$D:$D,MATCH(D94,Pacientes!$A:$A,0))&amp;"","ID no existe"))</f>
        <v/>
      </c>
      <c r="G94" s="14" t="str">
        <f aca="false">IF(D94="","",IFERROR(INDEX(Pacientes!$E:$E,MATCH(D94,Pacientes!$A:$A,0))&amp;"","ID no existe"))</f>
        <v/>
      </c>
      <c r="H94" s="9"/>
      <c r="I94" s="6"/>
      <c r="J94" s="6"/>
      <c r="K94" s="6"/>
      <c r="L94" s="7"/>
      <c r="M94" s="7"/>
      <c r="N94" s="6"/>
      <c r="O94" s="6"/>
    </row>
    <row r="95" customFormat="false" ht="15" hidden="false" customHeight="false" outlineLevel="0" collapsed="false">
      <c r="A95" s="6"/>
      <c r="B95" s="10"/>
      <c r="C95" s="16" t="str">
        <f aca="false">IF(B95="","",DATE(YEAR(B95),MONTH(B95),1))</f>
        <v/>
      </c>
      <c r="D95" s="6"/>
      <c r="E95" s="14" t="str">
        <f aca="false">IF(D95="","",IFERROR(INDEX(Pacientes!$Q:$Q,MATCH(D95,Pacientes!$A:$A,0))&amp;"","ID no existe"))</f>
        <v/>
      </c>
      <c r="F95" s="14" t="str">
        <f aca="false">IF(D95="","",IFERROR(INDEX(Pacientes!$D:$D,MATCH(D95,Pacientes!$A:$A,0))&amp;"","ID no existe"))</f>
        <v/>
      </c>
      <c r="G95" s="14" t="str">
        <f aca="false">IF(D95="","",IFERROR(INDEX(Pacientes!$E:$E,MATCH(D95,Pacientes!$A:$A,0))&amp;"","ID no existe"))</f>
        <v/>
      </c>
      <c r="H95" s="9"/>
      <c r="I95" s="6"/>
      <c r="J95" s="6"/>
      <c r="K95" s="6"/>
      <c r="L95" s="7"/>
      <c r="M95" s="7"/>
      <c r="N95" s="6"/>
      <c r="O95" s="6"/>
    </row>
    <row r="96" customFormat="false" ht="15" hidden="false" customHeight="false" outlineLevel="0" collapsed="false">
      <c r="A96" s="6"/>
      <c r="B96" s="10"/>
      <c r="C96" s="16" t="str">
        <f aca="false">IF(B96="","",DATE(YEAR(B96),MONTH(B96),1))</f>
        <v/>
      </c>
      <c r="D96" s="6"/>
      <c r="E96" s="14" t="str">
        <f aca="false">IF(D96="","",IFERROR(INDEX(Pacientes!$Q:$Q,MATCH(D96,Pacientes!$A:$A,0))&amp;"","ID no existe"))</f>
        <v/>
      </c>
      <c r="F96" s="14" t="str">
        <f aca="false">IF(D96="","",IFERROR(INDEX(Pacientes!$D:$D,MATCH(D96,Pacientes!$A:$A,0))&amp;"","ID no existe"))</f>
        <v/>
      </c>
      <c r="G96" s="14" t="str">
        <f aca="false">IF(D96="","",IFERROR(INDEX(Pacientes!$E:$E,MATCH(D96,Pacientes!$A:$A,0))&amp;"","ID no existe"))</f>
        <v/>
      </c>
      <c r="H96" s="9"/>
      <c r="I96" s="6"/>
      <c r="J96" s="6"/>
      <c r="K96" s="6"/>
      <c r="L96" s="7"/>
      <c r="M96" s="7"/>
      <c r="N96" s="6"/>
      <c r="O96" s="6"/>
    </row>
    <row r="97" customFormat="false" ht="15" hidden="false" customHeight="false" outlineLevel="0" collapsed="false">
      <c r="A97" s="6"/>
      <c r="B97" s="10"/>
      <c r="C97" s="16" t="str">
        <f aca="false">IF(B97="","",DATE(YEAR(B97),MONTH(B97),1))</f>
        <v/>
      </c>
      <c r="D97" s="6"/>
      <c r="E97" s="14" t="str">
        <f aca="false">IF(D97="","",IFERROR(INDEX(Pacientes!$Q:$Q,MATCH(D97,Pacientes!$A:$A,0))&amp;"","ID no existe"))</f>
        <v/>
      </c>
      <c r="F97" s="14" t="str">
        <f aca="false">IF(D97="","",IFERROR(INDEX(Pacientes!$D:$D,MATCH(D97,Pacientes!$A:$A,0))&amp;"","ID no existe"))</f>
        <v/>
      </c>
      <c r="G97" s="14" t="str">
        <f aca="false">IF(D97="","",IFERROR(INDEX(Pacientes!$E:$E,MATCH(D97,Pacientes!$A:$A,0))&amp;"","ID no existe"))</f>
        <v/>
      </c>
      <c r="H97" s="9"/>
      <c r="I97" s="6"/>
      <c r="J97" s="6"/>
      <c r="K97" s="6"/>
      <c r="L97" s="7"/>
      <c r="M97" s="7"/>
      <c r="N97" s="6"/>
      <c r="O97" s="6"/>
    </row>
    <row r="98" customFormat="false" ht="15" hidden="false" customHeight="false" outlineLevel="0" collapsed="false">
      <c r="A98" s="6"/>
      <c r="B98" s="10"/>
      <c r="C98" s="16" t="str">
        <f aca="false">IF(B98="","",DATE(YEAR(B98),MONTH(B98),1))</f>
        <v/>
      </c>
      <c r="D98" s="6"/>
      <c r="E98" s="14" t="str">
        <f aca="false">IF(D98="","",IFERROR(INDEX(Pacientes!$Q:$Q,MATCH(D98,Pacientes!$A:$A,0))&amp;"","ID no existe"))</f>
        <v/>
      </c>
      <c r="F98" s="14" t="str">
        <f aca="false">IF(D98="","",IFERROR(INDEX(Pacientes!$D:$D,MATCH(D98,Pacientes!$A:$A,0))&amp;"","ID no existe"))</f>
        <v/>
      </c>
      <c r="G98" s="14" t="str">
        <f aca="false">IF(D98="","",IFERROR(INDEX(Pacientes!$E:$E,MATCH(D98,Pacientes!$A:$A,0))&amp;"","ID no existe"))</f>
        <v/>
      </c>
      <c r="H98" s="9"/>
      <c r="I98" s="6"/>
      <c r="J98" s="6"/>
      <c r="K98" s="6"/>
      <c r="L98" s="7"/>
      <c r="M98" s="7"/>
      <c r="N98" s="6"/>
      <c r="O98" s="6"/>
    </row>
    <row r="99" customFormat="false" ht="15" hidden="false" customHeight="false" outlineLevel="0" collapsed="false">
      <c r="A99" s="6"/>
      <c r="B99" s="10"/>
      <c r="C99" s="16" t="str">
        <f aca="false">IF(B99="","",DATE(YEAR(B99),MONTH(B99),1))</f>
        <v/>
      </c>
      <c r="D99" s="6"/>
      <c r="E99" s="14" t="str">
        <f aca="false">IF(D99="","",IFERROR(INDEX(Pacientes!$Q:$Q,MATCH(D99,Pacientes!$A:$A,0))&amp;"","ID no existe"))</f>
        <v/>
      </c>
      <c r="F99" s="14" t="str">
        <f aca="false">IF(D99="","",IFERROR(INDEX(Pacientes!$D:$D,MATCH(D99,Pacientes!$A:$A,0))&amp;"","ID no existe"))</f>
        <v/>
      </c>
      <c r="G99" s="14" t="str">
        <f aca="false">IF(D99="","",IFERROR(INDEX(Pacientes!$E:$E,MATCH(D99,Pacientes!$A:$A,0))&amp;"","ID no existe"))</f>
        <v/>
      </c>
      <c r="H99" s="9"/>
      <c r="I99" s="6"/>
      <c r="J99" s="6"/>
      <c r="K99" s="6"/>
      <c r="L99" s="7"/>
      <c r="M99" s="7"/>
      <c r="N99" s="6"/>
      <c r="O99" s="6"/>
    </row>
    <row r="100" customFormat="false" ht="15" hidden="false" customHeight="false" outlineLevel="0" collapsed="false">
      <c r="A100" s="6"/>
      <c r="B100" s="10"/>
      <c r="C100" s="16" t="str">
        <f aca="false">IF(B100="","",DATE(YEAR(B100),MONTH(B100),1))</f>
        <v/>
      </c>
      <c r="D100" s="6"/>
      <c r="E100" s="14" t="str">
        <f aca="false">IF(D100="","",IFERROR(INDEX(Pacientes!$Q:$Q,MATCH(D100,Pacientes!$A:$A,0))&amp;"","ID no existe"))</f>
        <v/>
      </c>
      <c r="F100" s="14" t="str">
        <f aca="false">IF(D100="","",IFERROR(INDEX(Pacientes!$D:$D,MATCH(D100,Pacientes!$A:$A,0))&amp;"","ID no existe"))</f>
        <v/>
      </c>
      <c r="G100" s="14" t="str">
        <f aca="false">IF(D100="","",IFERROR(INDEX(Pacientes!$E:$E,MATCH(D100,Pacientes!$A:$A,0))&amp;"","ID no existe"))</f>
        <v/>
      </c>
      <c r="H100" s="9"/>
      <c r="I100" s="6"/>
      <c r="J100" s="6"/>
      <c r="K100" s="6"/>
      <c r="L100" s="7"/>
      <c r="M100" s="7"/>
      <c r="N100" s="6"/>
      <c r="O100" s="6"/>
    </row>
    <row r="101" customFormat="false" ht="15" hidden="false" customHeight="false" outlineLevel="0" collapsed="false">
      <c r="A101" s="6"/>
      <c r="B101" s="10"/>
      <c r="C101" s="16" t="str">
        <f aca="false">IF(B101="","",DATE(YEAR(B101),MONTH(B101),1))</f>
        <v/>
      </c>
      <c r="D101" s="6"/>
      <c r="E101" s="14" t="str">
        <f aca="false">IF(D101="","",IFERROR(INDEX(Pacientes!$Q:$Q,MATCH(D101,Pacientes!$A:$A,0))&amp;"","ID no existe"))</f>
        <v/>
      </c>
      <c r="F101" s="14" t="str">
        <f aca="false">IF(D101="","",IFERROR(INDEX(Pacientes!$D:$D,MATCH(D101,Pacientes!$A:$A,0))&amp;"","ID no existe"))</f>
        <v/>
      </c>
      <c r="G101" s="14" t="str">
        <f aca="false">IF(D101="","",IFERROR(INDEX(Pacientes!$E:$E,MATCH(D101,Pacientes!$A:$A,0))&amp;"","ID no existe"))</f>
        <v/>
      </c>
      <c r="H101" s="9"/>
      <c r="I101" s="6"/>
      <c r="J101" s="6"/>
      <c r="K101" s="6"/>
      <c r="L101" s="7"/>
      <c r="M101" s="7"/>
      <c r="N101" s="6"/>
      <c r="O101" s="6"/>
    </row>
    <row r="102" customFormat="false" ht="15" hidden="false" customHeight="false" outlineLevel="0" collapsed="false">
      <c r="A102" s="6"/>
      <c r="B102" s="10"/>
      <c r="C102" s="16" t="str">
        <f aca="false">IF(B102="","",DATE(YEAR(B102),MONTH(B102),1))</f>
        <v/>
      </c>
      <c r="D102" s="6"/>
      <c r="E102" s="14" t="str">
        <f aca="false">IF(D102="","",IFERROR(INDEX(Pacientes!$Q:$Q,MATCH(D102,Pacientes!$A:$A,0))&amp;"","ID no existe"))</f>
        <v/>
      </c>
      <c r="F102" s="14" t="str">
        <f aca="false">IF(D102="","",IFERROR(INDEX(Pacientes!$D:$D,MATCH(D102,Pacientes!$A:$A,0))&amp;"","ID no existe"))</f>
        <v/>
      </c>
      <c r="G102" s="14" t="str">
        <f aca="false">IF(D102="","",IFERROR(INDEX(Pacientes!$E:$E,MATCH(D102,Pacientes!$A:$A,0))&amp;"","ID no existe"))</f>
        <v/>
      </c>
      <c r="H102" s="9"/>
      <c r="I102" s="6"/>
      <c r="J102" s="6"/>
      <c r="K102" s="6"/>
      <c r="L102" s="7"/>
      <c r="M102" s="7"/>
      <c r="N102" s="6"/>
      <c r="O102" s="6"/>
    </row>
    <row r="103" customFormat="false" ht="15" hidden="false" customHeight="false" outlineLevel="0" collapsed="false">
      <c r="A103" s="6"/>
      <c r="B103" s="10"/>
      <c r="C103" s="16" t="str">
        <f aca="false">IF(B103="","",DATE(YEAR(B103),MONTH(B103),1))</f>
        <v/>
      </c>
      <c r="D103" s="6"/>
      <c r="E103" s="14" t="str">
        <f aca="false">IF(D103="","",IFERROR(INDEX(Pacientes!$Q:$Q,MATCH(D103,Pacientes!$A:$A,0))&amp;"","ID no existe"))</f>
        <v/>
      </c>
      <c r="F103" s="14" t="str">
        <f aca="false">IF(D103="","",IFERROR(INDEX(Pacientes!$D:$D,MATCH(D103,Pacientes!$A:$A,0))&amp;"","ID no existe"))</f>
        <v/>
      </c>
      <c r="G103" s="14" t="str">
        <f aca="false">IF(D103="","",IFERROR(INDEX(Pacientes!$E:$E,MATCH(D103,Pacientes!$A:$A,0))&amp;"","ID no existe"))</f>
        <v/>
      </c>
      <c r="H103" s="9"/>
      <c r="I103" s="6"/>
      <c r="J103" s="6"/>
      <c r="K103" s="6"/>
      <c r="L103" s="7"/>
      <c r="M103" s="7"/>
      <c r="N103" s="6"/>
      <c r="O103" s="6"/>
    </row>
    <row r="104" customFormat="false" ht="15" hidden="false" customHeight="false" outlineLevel="0" collapsed="false">
      <c r="A104" s="6"/>
      <c r="B104" s="10"/>
      <c r="C104" s="16" t="str">
        <f aca="false">IF(B104="","",DATE(YEAR(B104),MONTH(B104),1))</f>
        <v/>
      </c>
      <c r="D104" s="6"/>
      <c r="E104" s="14" t="str">
        <f aca="false">IF(D104="","",IFERROR(INDEX(Pacientes!$Q:$Q,MATCH(D104,Pacientes!$A:$A,0))&amp;"","ID no existe"))</f>
        <v/>
      </c>
      <c r="F104" s="14" t="str">
        <f aca="false">IF(D104="","",IFERROR(INDEX(Pacientes!$D:$D,MATCH(D104,Pacientes!$A:$A,0))&amp;"","ID no existe"))</f>
        <v/>
      </c>
      <c r="G104" s="14" t="str">
        <f aca="false">IF(D104="","",IFERROR(INDEX(Pacientes!$E:$E,MATCH(D104,Pacientes!$A:$A,0))&amp;"","ID no existe"))</f>
        <v/>
      </c>
      <c r="H104" s="9"/>
      <c r="I104" s="6"/>
      <c r="J104" s="6"/>
      <c r="K104" s="6"/>
      <c r="L104" s="7"/>
      <c r="M104" s="7"/>
      <c r="N104" s="6"/>
      <c r="O104" s="6"/>
    </row>
    <row r="105" customFormat="false" ht="15" hidden="false" customHeight="false" outlineLevel="0" collapsed="false">
      <c r="A105" s="6"/>
      <c r="B105" s="10"/>
      <c r="C105" s="16" t="str">
        <f aca="false">IF(B105="","",DATE(YEAR(B105),MONTH(B105),1))</f>
        <v/>
      </c>
      <c r="D105" s="6"/>
      <c r="E105" s="14" t="str">
        <f aca="false">IF(D105="","",IFERROR(INDEX(Pacientes!$Q:$Q,MATCH(D105,Pacientes!$A:$A,0))&amp;"","ID no existe"))</f>
        <v/>
      </c>
      <c r="F105" s="14" t="str">
        <f aca="false">IF(D105="","",IFERROR(INDEX(Pacientes!$D:$D,MATCH(D105,Pacientes!$A:$A,0))&amp;"","ID no existe"))</f>
        <v/>
      </c>
      <c r="G105" s="14" t="str">
        <f aca="false">IF(D105="","",IFERROR(INDEX(Pacientes!$E:$E,MATCH(D105,Pacientes!$A:$A,0))&amp;"","ID no existe"))</f>
        <v/>
      </c>
      <c r="H105" s="9"/>
      <c r="I105" s="6"/>
      <c r="J105" s="6"/>
      <c r="K105" s="6"/>
      <c r="L105" s="7"/>
      <c r="M105" s="7"/>
      <c r="N105" s="6"/>
      <c r="O105" s="6"/>
    </row>
    <row r="106" customFormat="false" ht="15" hidden="false" customHeight="false" outlineLevel="0" collapsed="false">
      <c r="A106" s="6"/>
      <c r="B106" s="10"/>
      <c r="C106" s="16" t="str">
        <f aca="false">IF(B106="","",DATE(YEAR(B106),MONTH(B106),1))</f>
        <v/>
      </c>
      <c r="D106" s="6"/>
      <c r="E106" s="14" t="str">
        <f aca="false">IF(D106="","",IFERROR(INDEX(Pacientes!$Q:$Q,MATCH(D106,Pacientes!$A:$A,0))&amp;"","ID no existe"))</f>
        <v/>
      </c>
      <c r="F106" s="14" t="str">
        <f aca="false">IF(D106="","",IFERROR(INDEX(Pacientes!$D:$D,MATCH(D106,Pacientes!$A:$A,0))&amp;"","ID no existe"))</f>
        <v/>
      </c>
      <c r="G106" s="14" t="str">
        <f aca="false">IF(D106="","",IFERROR(INDEX(Pacientes!$E:$E,MATCH(D106,Pacientes!$A:$A,0))&amp;"","ID no existe"))</f>
        <v/>
      </c>
      <c r="H106" s="9"/>
      <c r="I106" s="6"/>
      <c r="J106" s="6"/>
      <c r="K106" s="6"/>
      <c r="L106" s="7"/>
      <c r="M106" s="7"/>
      <c r="N106" s="6"/>
      <c r="O106" s="6"/>
    </row>
    <row r="107" customFormat="false" ht="15" hidden="false" customHeight="false" outlineLevel="0" collapsed="false">
      <c r="A107" s="6"/>
      <c r="B107" s="10"/>
      <c r="C107" s="16" t="str">
        <f aca="false">IF(B107="","",DATE(YEAR(B107),MONTH(B107),1))</f>
        <v/>
      </c>
      <c r="D107" s="6"/>
      <c r="E107" s="14" t="str">
        <f aca="false">IF(D107="","",IFERROR(INDEX(Pacientes!$Q:$Q,MATCH(D107,Pacientes!$A:$A,0))&amp;"","ID no existe"))</f>
        <v/>
      </c>
      <c r="F107" s="14" t="str">
        <f aca="false">IF(D107="","",IFERROR(INDEX(Pacientes!$D:$D,MATCH(D107,Pacientes!$A:$A,0))&amp;"","ID no existe"))</f>
        <v/>
      </c>
      <c r="G107" s="14" t="str">
        <f aca="false">IF(D107="","",IFERROR(INDEX(Pacientes!$E:$E,MATCH(D107,Pacientes!$A:$A,0))&amp;"","ID no existe"))</f>
        <v/>
      </c>
      <c r="H107" s="9"/>
      <c r="I107" s="6"/>
      <c r="J107" s="6"/>
      <c r="K107" s="6"/>
      <c r="L107" s="7"/>
      <c r="M107" s="7"/>
      <c r="N107" s="6"/>
      <c r="O107" s="6"/>
    </row>
    <row r="108" customFormat="false" ht="15" hidden="false" customHeight="false" outlineLevel="0" collapsed="false">
      <c r="A108" s="6"/>
      <c r="B108" s="10"/>
      <c r="C108" s="16" t="str">
        <f aca="false">IF(B108="","",DATE(YEAR(B108),MONTH(B108),1))</f>
        <v/>
      </c>
      <c r="D108" s="6"/>
      <c r="E108" s="14" t="str">
        <f aca="false">IF(D108="","",IFERROR(INDEX(Pacientes!$Q:$Q,MATCH(D108,Pacientes!$A:$A,0))&amp;"","ID no existe"))</f>
        <v/>
      </c>
      <c r="F108" s="14" t="str">
        <f aca="false">IF(D108="","",IFERROR(INDEX(Pacientes!$D:$D,MATCH(D108,Pacientes!$A:$A,0))&amp;"","ID no existe"))</f>
        <v/>
      </c>
      <c r="G108" s="14" t="str">
        <f aca="false">IF(D108="","",IFERROR(INDEX(Pacientes!$E:$E,MATCH(D108,Pacientes!$A:$A,0))&amp;"","ID no existe"))</f>
        <v/>
      </c>
      <c r="H108" s="9"/>
      <c r="I108" s="6"/>
      <c r="J108" s="6"/>
      <c r="K108" s="6"/>
      <c r="L108" s="7"/>
      <c r="M108" s="7"/>
      <c r="N108" s="6"/>
      <c r="O108" s="6"/>
    </row>
    <row r="109" customFormat="false" ht="15" hidden="false" customHeight="false" outlineLevel="0" collapsed="false">
      <c r="A109" s="6"/>
      <c r="B109" s="10"/>
      <c r="C109" s="16" t="str">
        <f aca="false">IF(B109="","",DATE(YEAR(B109),MONTH(B109),1))</f>
        <v/>
      </c>
      <c r="D109" s="6"/>
      <c r="E109" s="14" t="str">
        <f aca="false">IF(D109="","",IFERROR(INDEX(Pacientes!$Q:$Q,MATCH(D109,Pacientes!$A:$A,0))&amp;"","ID no existe"))</f>
        <v/>
      </c>
      <c r="F109" s="14" t="str">
        <f aca="false">IF(D109="","",IFERROR(INDEX(Pacientes!$D:$D,MATCH(D109,Pacientes!$A:$A,0))&amp;"","ID no existe"))</f>
        <v/>
      </c>
      <c r="G109" s="14" t="str">
        <f aca="false">IF(D109="","",IFERROR(INDEX(Pacientes!$E:$E,MATCH(D109,Pacientes!$A:$A,0))&amp;"","ID no existe"))</f>
        <v/>
      </c>
      <c r="H109" s="9"/>
      <c r="I109" s="6"/>
      <c r="J109" s="6"/>
      <c r="K109" s="6"/>
      <c r="L109" s="7"/>
      <c r="M109" s="7"/>
      <c r="N109" s="6"/>
      <c r="O109" s="6"/>
    </row>
    <row r="110" customFormat="false" ht="15" hidden="false" customHeight="false" outlineLevel="0" collapsed="false">
      <c r="A110" s="6"/>
      <c r="B110" s="10"/>
      <c r="C110" s="16" t="str">
        <f aca="false">IF(B110="","",DATE(YEAR(B110),MONTH(B110),1))</f>
        <v/>
      </c>
      <c r="D110" s="6"/>
      <c r="E110" s="14" t="str">
        <f aca="false">IF(D110="","",IFERROR(INDEX(Pacientes!$Q:$Q,MATCH(D110,Pacientes!$A:$A,0))&amp;"","ID no existe"))</f>
        <v/>
      </c>
      <c r="F110" s="14" t="str">
        <f aca="false">IF(D110="","",IFERROR(INDEX(Pacientes!$D:$D,MATCH(D110,Pacientes!$A:$A,0))&amp;"","ID no existe"))</f>
        <v/>
      </c>
      <c r="G110" s="14" t="str">
        <f aca="false">IF(D110="","",IFERROR(INDEX(Pacientes!$E:$E,MATCH(D110,Pacientes!$A:$A,0))&amp;"","ID no existe"))</f>
        <v/>
      </c>
      <c r="H110" s="9"/>
      <c r="I110" s="6"/>
      <c r="J110" s="6"/>
      <c r="K110" s="6"/>
      <c r="L110" s="7"/>
      <c r="M110" s="7"/>
      <c r="N110" s="6"/>
      <c r="O110" s="6"/>
    </row>
    <row r="111" customFormat="false" ht="15" hidden="false" customHeight="false" outlineLevel="0" collapsed="false">
      <c r="A111" s="6"/>
      <c r="B111" s="10"/>
      <c r="C111" s="16" t="str">
        <f aca="false">IF(B111="","",DATE(YEAR(B111),MONTH(B111),1))</f>
        <v/>
      </c>
      <c r="D111" s="6"/>
      <c r="E111" s="14" t="str">
        <f aca="false">IF(D111="","",IFERROR(INDEX(Pacientes!$Q:$Q,MATCH(D111,Pacientes!$A:$A,0))&amp;"","ID no existe"))</f>
        <v/>
      </c>
      <c r="F111" s="14" t="str">
        <f aca="false">IF(D111="","",IFERROR(INDEX(Pacientes!$D:$D,MATCH(D111,Pacientes!$A:$A,0))&amp;"","ID no existe"))</f>
        <v/>
      </c>
      <c r="G111" s="14" t="str">
        <f aca="false">IF(D111="","",IFERROR(INDEX(Pacientes!$E:$E,MATCH(D111,Pacientes!$A:$A,0))&amp;"","ID no existe"))</f>
        <v/>
      </c>
      <c r="H111" s="9"/>
      <c r="I111" s="6"/>
      <c r="J111" s="6"/>
      <c r="K111" s="6"/>
      <c r="L111" s="7"/>
      <c r="M111" s="7"/>
      <c r="N111" s="6"/>
      <c r="O111" s="6"/>
    </row>
    <row r="112" customFormat="false" ht="15" hidden="false" customHeight="false" outlineLevel="0" collapsed="false">
      <c r="A112" s="6"/>
      <c r="B112" s="10"/>
      <c r="C112" s="16" t="str">
        <f aca="false">IF(B112="","",DATE(YEAR(B112),MONTH(B112),1))</f>
        <v/>
      </c>
      <c r="D112" s="6"/>
      <c r="E112" s="14" t="str">
        <f aca="false">IF(D112="","",IFERROR(INDEX(Pacientes!$Q:$Q,MATCH(D112,Pacientes!$A:$A,0))&amp;"","ID no existe"))</f>
        <v/>
      </c>
      <c r="F112" s="14" t="str">
        <f aca="false">IF(D112="","",IFERROR(INDEX(Pacientes!$D:$D,MATCH(D112,Pacientes!$A:$A,0))&amp;"","ID no existe"))</f>
        <v/>
      </c>
      <c r="G112" s="14" t="str">
        <f aca="false">IF(D112="","",IFERROR(INDEX(Pacientes!$E:$E,MATCH(D112,Pacientes!$A:$A,0))&amp;"","ID no existe"))</f>
        <v/>
      </c>
      <c r="H112" s="9"/>
      <c r="I112" s="6"/>
      <c r="J112" s="6"/>
      <c r="K112" s="6"/>
      <c r="L112" s="7"/>
      <c r="M112" s="7"/>
      <c r="N112" s="6"/>
      <c r="O112" s="6"/>
    </row>
    <row r="113" customFormat="false" ht="15" hidden="false" customHeight="false" outlineLevel="0" collapsed="false">
      <c r="A113" s="6"/>
      <c r="B113" s="10"/>
      <c r="C113" s="16" t="str">
        <f aca="false">IF(B113="","",DATE(YEAR(B113),MONTH(B113),1))</f>
        <v/>
      </c>
      <c r="D113" s="6"/>
      <c r="E113" s="14" t="str">
        <f aca="false">IF(D113="","",IFERROR(INDEX(Pacientes!$Q:$Q,MATCH(D113,Pacientes!$A:$A,0))&amp;"","ID no existe"))</f>
        <v/>
      </c>
      <c r="F113" s="14" t="str">
        <f aca="false">IF(D113="","",IFERROR(INDEX(Pacientes!$D:$D,MATCH(D113,Pacientes!$A:$A,0))&amp;"","ID no existe"))</f>
        <v/>
      </c>
      <c r="G113" s="14" t="str">
        <f aca="false">IF(D113="","",IFERROR(INDEX(Pacientes!$E:$E,MATCH(D113,Pacientes!$A:$A,0))&amp;"","ID no existe"))</f>
        <v/>
      </c>
      <c r="H113" s="9"/>
      <c r="I113" s="6"/>
      <c r="J113" s="6"/>
      <c r="K113" s="6"/>
      <c r="L113" s="7"/>
      <c r="M113" s="7"/>
      <c r="N113" s="6"/>
      <c r="O113" s="6"/>
    </row>
    <row r="114" customFormat="false" ht="15" hidden="false" customHeight="false" outlineLevel="0" collapsed="false">
      <c r="A114" s="6"/>
      <c r="B114" s="10"/>
      <c r="C114" s="16" t="str">
        <f aca="false">IF(B114="","",DATE(YEAR(B114),MONTH(B114),1))</f>
        <v/>
      </c>
      <c r="D114" s="6"/>
      <c r="E114" s="14" t="str">
        <f aca="false">IF(D114="","",IFERROR(INDEX(Pacientes!$Q:$Q,MATCH(D114,Pacientes!$A:$A,0))&amp;"","ID no existe"))</f>
        <v/>
      </c>
      <c r="F114" s="14" t="str">
        <f aca="false">IF(D114="","",IFERROR(INDEX(Pacientes!$D:$D,MATCH(D114,Pacientes!$A:$A,0))&amp;"","ID no existe"))</f>
        <v/>
      </c>
      <c r="G114" s="14" t="str">
        <f aca="false">IF(D114="","",IFERROR(INDEX(Pacientes!$E:$E,MATCH(D114,Pacientes!$A:$A,0))&amp;"","ID no existe"))</f>
        <v/>
      </c>
      <c r="H114" s="9"/>
      <c r="I114" s="6"/>
      <c r="J114" s="6"/>
      <c r="K114" s="6"/>
      <c r="L114" s="7"/>
      <c r="M114" s="7"/>
      <c r="N114" s="6"/>
      <c r="O114" s="6"/>
    </row>
    <row r="115" customFormat="false" ht="15" hidden="false" customHeight="false" outlineLevel="0" collapsed="false">
      <c r="A115" s="6"/>
      <c r="B115" s="10"/>
      <c r="C115" s="16" t="str">
        <f aca="false">IF(B115="","",DATE(YEAR(B115),MONTH(B115),1))</f>
        <v/>
      </c>
      <c r="D115" s="6"/>
      <c r="E115" s="14" t="str">
        <f aca="false">IF(D115="","",IFERROR(INDEX(Pacientes!$Q:$Q,MATCH(D115,Pacientes!$A:$A,0))&amp;"","ID no existe"))</f>
        <v/>
      </c>
      <c r="F115" s="14" t="str">
        <f aca="false">IF(D115="","",IFERROR(INDEX(Pacientes!$D:$D,MATCH(D115,Pacientes!$A:$A,0))&amp;"","ID no existe"))</f>
        <v/>
      </c>
      <c r="G115" s="14" t="str">
        <f aca="false">IF(D115="","",IFERROR(INDEX(Pacientes!$E:$E,MATCH(D115,Pacientes!$A:$A,0))&amp;"","ID no existe"))</f>
        <v/>
      </c>
      <c r="H115" s="9"/>
      <c r="I115" s="6"/>
      <c r="J115" s="6"/>
      <c r="K115" s="6"/>
      <c r="L115" s="7"/>
      <c r="M115" s="7"/>
      <c r="N115" s="6"/>
      <c r="O115" s="6"/>
    </row>
    <row r="116" customFormat="false" ht="15" hidden="false" customHeight="false" outlineLevel="0" collapsed="false">
      <c r="A116" s="6"/>
      <c r="B116" s="10"/>
      <c r="C116" s="16" t="str">
        <f aca="false">IF(B116="","",DATE(YEAR(B116),MONTH(B116),1))</f>
        <v/>
      </c>
      <c r="D116" s="6"/>
      <c r="E116" s="14" t="str">
        <f aca="false">IF(D116="","",IFERROR(INDEX(Pacientes!$Q:$Q,MATCH(D116,Pacientes!$A:$A,0))&amp;"","ID no existe"))</f>
        <v/>
      </c>
      <c r="F116" s="14" t="str">
        <f aca="false">IF(D116="","",IFERROR(INDEX(Pacientes!$D:$D,MATCH(D116,Pacientes!$A:$A,0))&amp;"","ID no existe"))</f>
        <v/>
      </c>
      <c r="G116" s="14" t="str">
        <f aca="false">IF(D116="","",IFERROR(INDEX(Pacientes!$E:$E,MATCH(D116,Pacientes!$A:$A,0))&amp;"","ID no existe"))</f>
        <v/>
      </c>
      <c r="H116" s="9"/>
      <c r="I116" s="6"/>
      <c r="J116" s="6"/>
      <c r="K116" s="6"/>
      <c r="L116" s="7"/>
      <c r="M116" s="7"/>
      <c r="N116" s="6"/>
      <c r="O116" s="6"/>
    </row>
    <row r="117" customFormat="false" ht="15" hidden="false" customHeight="false" outlineLevel="0" collapsed="false">
      <c r="A117" s="6"/>
      <c r="B117" s="10"/>
      <c r="C117" s="16" t="str">
        <f aca="false">IF(B117="","",DATE(YEAR(B117),MONTH(B117),1))</f>
        <v/>
      </c>
      <c r="D117" s="6"/>
      <c r="E117" s="14" t="str">
        <f aca="false">IF(D117="","",IFERROR(INDEX(Pacientes!$Q:$Q,MATCH(D117,Pacientes!$A:$A,0))&amp;"","ID no existe"))</f>
        <v/>
      </c>
      <c r="F117" s="14" t="str">
        <f aca="false">IF(D117="","",IFERROR(INDEX(Pacientes!$D:$D,MATCH(D117,Pacientes!$A:$A,0))&amp;"","ID no existe"))</f>
        <v/>
      </c>
      <c r="G117" s="14" t="str">
        <f aca="false">IF(D117="","",IFERROR(INDEX(Pacientes!$E:$E,MATCH(D117,Pacientes!$A:$A,0))&amp;"","ID no existe"))</f>
        <v/>
      </c>
      <c r="H117" s="9"/>
      <c r="I117" s="6"/>
      <c r="J117" s="6"/>
      <c r="K117" s="6"/>
      <c r="L117" s="7"/>
      <c r="M117" s="7"/>
      <c r="N117" s="6"/>
      <c r="O117" s="6"/>
    </row>
    <row r="118" customFormat="false" ht="15" hidden="false" customHeight="false" outlineLevel="0" collapsed="false">
      <c r="A118" s="6"/>
      <c r="B118" s="10"/>
      <c r="C118" s="16" t="str">
        <f aca="false">IF(B118="","",DATE(YEAR(B118),MONTH(B118),1))</f>
        <v/>
      </c>
      <c r="D118" s="6"/>
      <c r="E118" s="14" t="str">
        <f aca="false">IF(D118="","",IFERROR(INDEX(Pacientes!$Q:$Q,MATCH(D118,Pacientes!$A:$A,0))&amp;"","ID no existe"))</f>
        <v/>
      </c>
      <c r="F118" s="14" t="str">
        <f aca="false">IF(D118="","",IFERROR(INDEX(Pacientes!$D:$D,MATCH(D118,Pacientes!$A:$A,0))&amp;"","ID no existe"))</f>
        <v/>
      </c>
      <c r="G118" s="14" t="str">
        <f aca="false">IF(D118="","",IFERROR(INDEX(Pacientes!$E:$E,MATCH(D118,Pacientes!$A:$A,0))&amp;"","ID no existe"))</f>
        <v/>
      </c>
      <c r="H118" s="9"/>
      <c r="I118" s="6"/>
      <c r="J118" s="6"/>
      <c r="K118" s="6"/>
      <c r="L118" s="7"/>
      <c r="M118" s="7"/>
      <c r="N118" s="6"/>
      <c r="O118" s="6"/>
    </row>
    <row r="119" customFormat="false" ht="15" hidden="false" customHeight="false" outlineLevel="0" collapsed="false">
      <c r="A119" s="6"/>
      <c r="B119" s="10"/>
      <c r="C119" s="16" t="str">
        <f aca="false">IF(B119="","",DATE(YEAR(B119),MONTH(B119),1))</f>
        <v/>
      </c>
      <c r="D119" s="6"/>
      <c r="E119" s="14" t="str">
        <f aca="false">IF(D119="","",IFERROR(INDEX(Pacientes!$Q:$Q,MATCH(D119,Pacientes!$A:$A,0))&amp;"","ID no existe"))</f>
        <v/>
      </c>
      <c r="F119" s="14" t="str">
        <f aca="false">IF(D119="","",IFERROR(INDEX(Pacientes!$D:$D,MATCH(D119,Pacientes!$A:$A,0))&amp;"","ID no existe"))</f>
        <v/>
      </c>
      <c r="G119" s="14" t="str">
        <f aca="false">IF(D119="","",IFERROR(INDEX(Pacientes!$E:$E,MATCH(D119,Pacientes!$A:$A,0))&amp;"","ID no existe"))</f>
        <v/>
      </c>
      <c r="H119" s="9"/>
      <c r="I119" s="6"/>
      <c r="J119" s="6"/>
      <c r="K119" s="6"/>
      <c r="L119" s="7"/>
      <c r="M119" s="7"/>
      <c r="N119" s="6"/>
      <c r="O119" s="6"/>
    </row>
    <row r="120" customFormat="false" ht="15" hidden="false" customHeight="false" outlineLevel="0" collapsed="false">
      <c r="A120" s="6"/>
      <c r="B120" s="10"/>
      <c r="C120" s="16" t="str">
        <f aca="false">IF(B120="","",DATE(YEAR(B120),MONTH(B120),1))</f>
        <v/>
      </c>
      <c r="D120" s="6"/>
      <c r="E120" s="14" t="str">
        <f aca="false">IF(D120="","",IFERROR(INDEX(Pacientes!$Q:$Q,MATCH(D120,Pacientes!$A:$A,0))&amp;"","ID no existe"))</f>
        <v/>
      </c>
      <c r="F120" s="14" t="str">
        <f aca="false">IF(D120="","",IFERROR(INDEX(Pacientes!$D:$D,MATCH(D120,Pacientes!$A:$A,0))&amp;"","ID no existe"))</f>
        <v/>
      </c>
      <c r="G120" s="14" t="str">
        <f aca="false">IF(D120="","",IFERROR(INDEX(Pacientes!$E:$E,MATCH(D120,Pacientes!$A:$A,0))&amp;"","ID no existe"))</f>
        <v/>
      </c>
      <c r="H120" s="9"/>
      <c r="I120" s="6"/>
      <c r="J120" s="6"/>
      <c r="K120" s="6"/>
      <c r="L120" s="7"/>
      <c r="M120" s="7"/>
      <c r="N120" s="6"/>
      <c r="O120" s="6"/>
    </row>
    <row r="121" customFormat="false" ht="15" hidden="false" customHeight="false" outlineLevel="0" collapsed="false">
      <c r="A121" s="6"/>
      <c r="B121" s="10"/>
      <c r="C121" s="16" t="str">
        <f aca="false">IF(B121="","",DATE(YEAR(B121),MONTH(B121),1))</f>
        <v/>
      </c>
      <c r="D121" s="6"/>
      <c r="E121" s="14" t="str">
        <f aca="false">IF(D121="","",IFERROR(INDEX(Pacientes!$Q:$Q,MATCH(D121,Pacientes!$A:$A,0))&amp;"","ID no existe"))</f>
        <v/>
      </c>
      <c r="F121" s="14" t="str">
        <f aca="false">IF(D121="","",IFERROR(INDEX(Pacientes!$D:$D,MATCH(D121,Pacientes!$A:$A,0))&amp;"","ID no existe"))</f>
        <v/>
      </c>
      <c r="G121" s="14" t="str">
        <f aca="false">IF(D121="","",IFERROR(INDEX(Pacientes!$E:$E,MATCH(D121,Pacientes!$A:$A,0))&amp;"","ID no existe"))</f>
        <v/>
      </c>
      <c r="H121" s="9"/>
      <c r="I121" s="6"/>
      <c r="J121" s="6"/>
      <c r="K121" s="6"/>
      <c r="L121" s="7"/>
      <c r="M121" s="7"/>
      <c r="N121" s="6"/>
      <c r="O121" s="6"/>
    </row>
    <row r="122" customFormat="false" ht="15" hidden="false" customHeight="false" outlineLevel="0" collapsed="false">
      <c r="A122" s="6"/>
      <c r="B122" s="10"/>
      <c r="C122" s="16" t="str">
        <f aca="false">IF(B122="","",DATE(YEAR(B122),MONTH(B122),1))</f>
        <v/>
      </c>
      <c r="D122" s="6"/>
      <c r="E122" s="14" t="str">
        <f aca="false">IF(D122="","",IFERROR(INDEX(Pacientes!$Q:$Q,MATCH(D122,Pacientes!$A:$A,0))&amp;"","ID no existe"))</f>
        <v/>
      </c>
      <c r="F122" s="14" t="str">
        <f aca="false">IF(D122="","",IFERROR(INDEX(Pacientes!$D:$D,MATCH(D122,Pacientes!$A:$A,0))&amp;"","ID no existe"))</f>
        <v/>
      </c>
      <c r="G122" s="14" t="str">
        <f aca="false">IF(D122="","",IFERROR(INDEX(Pacientes!$E:$E,MATCH(D122,Pacientes!$A:$A,0))&amp;"","ID no existe"))</f>
        <v/>
      </c>
      <c r="H122" s="9"/>
      <c r="I122" s="6"/>
      <c r="J122" s="6"/>
      <c r="K122" s="6"/>
      <c r="L122" s="7"/>
      <c r="M122" s="7"/>
      <c r="N122" s="6"/>
      <c r="O122" s="6"/>
    </row>
    <row r="123" customFormat="false" ht="15" hidden="false" customHeight="false" outlineLevel="0" collapsed="false">
      <c r="A123" s="6"/>
      <c r="B123" s="10"/>
      <c r="C123" s="16" t="str">
        <f aca="false">IF(B123="","",DATE(YEAR(B123),MONTH(B123),1))</f>
        <v/>
      </c>
      <c r="D123" s="6"/>
      <c r="E123" s="14" t="str">
        <f aca="false">IF(D123="","",IFERROR(INDEX(Pacientes!$Q:$Q,MATCH(D123,Pacientes!$A:$A,0))&amp;"","ID no existe"))</f>
        <v/>
      </c>
      <c r="F123" s="14" t="str">
        <f aca="false">IF(D123="","",IFERROR(INDEX(Pacientes!$D:$D,MATCH(D123,Pacientes!$A:$A,0))&amp;"","ID no existe"))</f>
        <v/>
      </c>
      <c r="G123" s="14" t="str">
        <f aca="false">IF(D123="","",IFERROR(INDEX(Pacientes!$E:$E,MATCH(D123,Pacientes!$A:$A,0))&amp;"","ID no existe"))</f>
        <v/>
      </c>
      <c r="H123" s="9"/>
      <c r="I123" s="6"/>
      <c r="J123" s="6"/>
      <c r="K123" s="6"/>
      <c r="L123" s="7"/>
      <c r="M123" s="7"/>
      <c r="N123" s="6"/>
      <c r="O123" s="6"/>
    </row>
    <row r="124" customFormat="false" ht="15" hidden="false" customHeight="false" outlineLevel="0" collapsed="false">
      <c r="A124" s="6"/>
      <c r="B124" s="10"/>
      <c r="C124" s="16" t="str">
        <f aca="false">IF(B124="","",DATE(YEAR(B124),MONTH(B124),1))</f>
        <v/>
      </c>
      <c r="D124" s="6"/>
      <c r="E124" s="14" t="str">
        <f aca="false">IF(D124="","",IFERROR(INDEX(Pacientes!$Q:$Q,MATCH(D124,Pacientes!$A:$A,0))&amp;"","ID no existe"))</f>
        <v/>
      </c>
      <c r="F124" s="14" t="str">
        <f aca="false">IF(D124="","",IFERROR(INDEX(Pacientes!$D:$D,MATCH(D124,Pacientes!$A:$A,0))&amp;"","ID no existe"))</f>
        <v/>
      </c>
      <c r="G124" s="14" t="str">
        <f aca="false">IF(D124="","",IFERROR(INDEX(Pacientes!$E:$E,MATCH(D124,Pacientes!$A:$A,0))&amp;"","ID no existe"))</f>
        <v/>
      </c>
      <c r="H124" s="9"/>
      <c r="I124" s="6"/>
      <c r="J124" s="6"/>
      <c r="K124" s="6"/>
      <c r="L124" s="7"/>
      <c r="M124" s="7"/>
      <c r="N124" s="6"/>
      <c r="O124" s="6"/>
    </row>
    <row r="125" customFormat="false" ht="15" hidden="false" customHeight="false" outlineLevel="0" collapsed="false">
      <c r="A125" s="6"/>
      <c r="B125" s="10"/>
      <c r="C125" s="16" t="str">
        <f aca="false">IF(B125="","",DATE(YEAR(B125),MONTH(B125),1))</f>
        <v/>
      </c>
      <c r="D125" s="6"/>
      <c r="E125" s="14" t="str">
        <f aca="false">IF(D125="","",IFERROR(INDEX(Pacientes!$Q:$Q,MATCH(D125,Pacientes!$A:$A,0))&amp;"","ID no existe"))</f>
        <v/>
      </c>
      <c r="F125" s="14" t="str">
        <f aca="false">IF(D125="","",IFERROR(INDEX(Pacientes!$D:$D,MATCH(D125,Pacientes!$A:$A,0))&amp;"","ID no existe"))</f>
        <v/>
      </c>
      <c r="G125" s="14" t="str">
        <f aca="false">IF(D125="","",IFERROR(INDEX(Pacientes!$E:$E,MATCH(D125,Pacientes!$A:$A,0))&amp;"","ID no existe"))</f>
        <v/>
      </c>
      <c r="H125" s="9"/>
      <c r="I125" s="6"/>
      <c r="J125" s="6"/>
      <c r="K125" s="6"/>
      <c r="L125" s="7"/>
      <c r="M125" s="7"/>
      <c r="N125" s="6"/>
      <c r="O125" s="6"/>
    </row>
    <row r="126" customFormat="false" ht="15" hidden="false" customHeight="false" outlineLevel="0" collapsed="false">
      <c r="A126" s="6"/>
      <c r="B126" s="10"/>
      <c r="C126" s="16" t="str">
        <f aca="false">IF(B126="","",DATE(YEAR(B126),MONTH(B126),1))</f>
        <v/>
      </c>
      <c r="D126" s="6"/>
      <c r="E126" s="14" t="str">
        <f aca="false">IF(D126="","",IFERROR(INDEX(Pacientes!$Q:$Q,MATCH(D126,Pacientes!$A:$A,0))&amp;"","ID no existe"))</f>
        <v/>
      </c>
      <c r="F126" s="14" t="str">
        <f aca="false">IF(D126="","",IFERROR(INDEX(Pacientes!$D:$D,MATCH(D126,Pacientes!$A:$A,0))&amp;"","ID no existe"))</f>
        <v/>
      </c>
      <c r="G126" s="14" t="str">
        <f aca="false">IF(D126="","",IFERROR(INDEX(Pacientes!$E:$E,MATCH(D126,Pacientes!$A:$A,0))&amp;"","ID no existe"))</f>
        <v/>
      </c>
      <c r="H126" s="9"/>
      <c r="I126" s="6"/>
      <c r="J126" s="6"/>
      <c r="K126" s="6"/>
      <c r="L126" s="7"/>
      <c r="M126" s="7"/>
      <c r="N126" s="6"/>
      <c r="O126" s="6"/>
    </row>
    <row r="127" customFormat="false" ht="15" hidden="false" customHeight="false" outlineLevel="0" collapsed="false">
      <c r="A127" s="6"/>
      <c r="B127" s="10"/>
      <c r="C127" s="16" t="str">
        <f aca="false">IF(B127="","",DATE(YEAR(B127),MONTH(B127),1))</f>
        <v/>
      </c>
      <c r="D127" s="6"/>
      <c r="E127" s="14" t="str">
        <f aca="false">IF(D127="","",IFERROR(INDEX(Pacientes!$Q:$Q,MATCH(D127,Pacientes!$A:$A,0))&amp;"","ID no existe"))</f>
        <v/>
      </c>
      <c r="F127" s="14" t="str">
        <f aca="false">IF(D127="","",IFERROR(INDEX(Pacientes!$D:$D,MATCH(D127,Pacientes!$A:$A,0))&amp;"","ID no existe"))</f>
        <v/>
      </c>
      <c r="G127" s="14" t="str">
        <f aca="false">IF(D127="","",IFERROR(INDEX(Pacientes!$E:$E,MATCH(D127,Pacientes!$A:$A,0))&amp;"","ID no existe"))</f>
        <v/>
      </c>
      <c r="H127" s="9"/>
      <c r="I127" s="6"/>
      <c r="J127" s="6"/>
      <c r="K127" s="6"/>
      <c r="L127" s="7"/>
      <c r="M127" s="7"/>
      <c r="N127" s="6"/>
      <c r="O127" s="6"/>
    </row>
    <row r="128" customFormat="false" ht="15" hidden="false" customHeight="false" outlineLevel="0" collapsed="false">
      <c r="A128" s="6"/>
      <c r="B128" s="10"/>
      <c r="C128" s="16" t="str">
        <f aca="false">IF(B128="","",DATE(YEAR(B128),MONTH(B128),1))</f>
        <v/>
      </c>
      <c r="D128" s="6"/>
      <c r="E128" s="14" t="str">
        <f aca="false">IF(D128="","",IFERROR(INDEX(Pacientes!$Q:$Q,MATCH(D128,Pacientes!$A:$A,0))&amp;"","ID no existe"))</f>
        <v/>
      </c>
      <c r="F128" s="14" t="str">
        <f aca="false">IF(D128="","",IFERROR(INDEX(Pacientes!$D:$D,MATCH(D128,Pacientes!$A:$A,0))&amp;"","ID no existe"))</f>
        <v/>
      </c>
      <c r="G128" s="14" t="str">
        <f aca="false">IF(D128="","",IFERROR(INDEX(Pacientes!$E:$E,MATCH(D128,Pacientes!$A:$A,0))&amp;"","ID no existe"))</f>
        <v/>
      </c>
      <c r="H128" s="9"/>
      <c r="I128" s="6"/>
      <c r="J128" s="6"/>
      <c r="K128" s="6"/>
      <c r="L128" s="7"/>
      <c r="M128" s="7"/>
      <c r="N128" s="6"/>
      <c r="O128" s="6"/>
    </row>
    <row r="129" customFormat="false" ht="15" hidden="false" customHeight="false" outlineLevel="0" collapsed="false">
      <c r="A129" s="6"/>
      <c r="B129" s="10"/>
      <c r="C129" s="16" t="str">
        <f aca="false">IF(B129="","",DATE(YEAR(B129),MONTH(B129),1))</f>
        <v/>
      </c>
      <c r="D129" s="6"/>
      <c r="E129" s="14" t="str">
        <f aca="false">IF(D129="","",IFERROR(INDEX(Pacientes!$Q:$Q,MATCH(D129,Pacientes!$A:$A,0))&amp;"","ID no existe"))</f>
        <v/>
      </c>
      <c r="F129" s="14" t="str">
        <f aca="false">IF(D129="","",IFERROR(INDEX(Pacientes!$D:$D,MATCH(D129,Pacientes!$A:$A,0))&amp;"","ID no existe"))</f>
        <v/>
      </c>
      <c r="G129" s="14" t="str">
        <f aca="false">IF(D129="","",IFERROR(INDEX(Pacientes!$E:$E,MATCH(D129,Pacientes!$A:$A,0))&amp;"","ID no existe"))</f>
        <v/>
      </c>
      <c r="H129" s="9"/>
      <c r="I129" s="6"/>
      <c r="J129" s="6"/>
      <c r="K129" s="6"/>
      <c r="L129" s="7"/>
      <c r="M129" s="7"/>
      <c r="N129" s="6"/>
      <c r="O129" s="6"/>
    </row>
    <row r="130" customFormat="false" ht="15" hidden="false" customHeight="false" outlineLevel="0" collapsed="false">
      <c r="A130" s="6"/>
      <c r="B130" s="10"/>
      <c r="C130" s="16" t="str">
        <f aca="false">IF(B130="","",DATE(YEAR(B130),MONTH(B130),1))</f>
        <v/>
      </c>
      <c r="D130" s="6"/>
      <c r="E130" s="14" t="str">
        <f aca="false">IF(D130="","",IFERROR(INDEX(Pacientes!$Q:$Q,MATCH(D130,Pacientes!$A:$A,0))&amp;"","ID no existe"))</f>
        <v/>
      </c>
      <c r="F130" s="14" t="str">
        <f aca="false">IF(D130="","",IFERROR(INDEX(Pacientes!$D:$D,MATCH(D130,Pacientes!$A:$A,0))&amp;"","ID no existe"))</f>
        <v/>
      </c>
      <c r="G130" s="14" t="str">
        <f aca="false">IF(D130="","",IFERROR(INDEX(Pacientes!$E:$E,MATCH(D130,Pacientes!$A:$A,0))&amp;"","ID no existe"))</f>
        <v/>
      </c>
      <c r="H130" s="9"/>
      <c r="I130" s="6"/>
      <c r="J130" s="6"/>
      <c r="K130" s="6"/>
      <c r="L130" s="7"/>
      <c r="M130" s="7"/>
      <c r="N130" s="6"/>
      <c r="O130" s="6"/>
    </row>
    <row r="131" customFormat="false" ht="15" hidden="false" customHeight="false" outlineLevel="0" collapsed="false">
      <c r="A131" s="6"/>
      <c r="B131" s="10"/>
      <c r="C131" s="16" t="str">
        <f aca="false">IF(B131="","",DATE(YEAR(B131),MONTH(B131),1))</f>
        <v/>
      </c>
      <c r="D131" s="6"/>
      <c r="E131" s="14" t="str">
        <f aca="false">IF(D131="","",IFERROR(INDEX(Pacientes!$Q:$Q,MATCH(D131,Pacientes!$A:$A,0))&amp;"","ID no existe"))</f>
        <v/>
      </c>
      <c r="F131" s="14" t="str">
        <f aca="false">IF(D131="","",IFERROR(INDEX(Pacientes!$D:$D,MATCH(D131,Pacientes!$A:$A,0))&amp;"","ID no existe"))</f>
        <v/>
      </c>
      <c r="G131" s="14" t="str">
        <f aca="false">IF(D131="","",IFERROR(INDEX(Pacientes!$E:$E,MATCH(D131,Pacientes!$A:$A,0))&amp;"","ID no existe"))</f>
        <v/>
      </c>
      <c r="H131" s="9"/>
      <c r="I131" s="6"/>
      <c r="J131" s="6"/>
      <c r="K131" s="6"/>
      <c r="L131" s="7"/>
      <c r="M131" s="7"/>
      <c r="N131" s="6"/>
      <c r="O131" s="6"/>
    </row>
    <row r="132" customFormat="false" ht="15" hidden="false" customHeight="false" outlineLevel="0" collapsed="false">
      <c r="A132" s="6"/>
      <c r="B132" s="10"/>
      <c r="C132" s="16" t="str">
        <f aca="false">IF(B132="","",DATE(YEAR(B132),MONTH(B132),1))</f>
        <v/>
      </c>
      <c r="D132" s="6"/>
      <c r="E132" s="14" t="str">
        <f aca="false">IF(D132="","",IFERROR(INDEX(Pacientes!$Q:$Q,MATCH(D132,Pacientes!$A:$A,0))&amp;"","ID no existe"))</f>
        <v/>
      </c>
      <c r="F132" s="14" t="str">
        <f aca="false">IF(D132="","",IFERROR(INDEX(Pacientes!$D:$D,MATCH(D132,Pacientes!$A:$A,0))&amp;"","ID no existe"))</f>
        <v/>
      </c>
      <c r="G132" s="14" t="str">
        <f aca="false">IF(D132="","",IFERROR(INDEX(Pacientes!$E:$E,MATCH(D132,Pacientes!$A:$A,0))&amp;"","ID no existe"))</f>
        <v/>
      </c>
      <c r="H132" s="9"/>
      <c r="I132" s="6"/>
      <c r="J132" s="6"/>
      <c r="K132" s="6"/>
      <c r="L132" s="7"/>
      <c r="M132" s="7"/>
      <c r="N132" s="6"/>
      <c r="O132" s="6"/>
    </row>
    <row r="133" customFormat="false" ht="15" hidden="false" customHeight="false" outlineLevel="0" collapsed="false">
      <c r="A133" s="6"/>
      <c r="B133" s="10"/>
      <c r="C133" s="16" t="str">
        <f aca="false">IF(B133="","",DATE(YEAR(B133),MONTH(B133),1))</f>
        <v/>
      </c>
      <c r="D133" s="6"/>
      <c r="E133" s="14" t="str">
        <f aca="false">IF(D133="","",IFERROR(INDEX(Pacientes!$Q:$Q,MATCH(D133,Pacientes!$A:$A,0))&amp;"","ID no existe"))</f>
        <v/>
      </c>
      <c r="F133" s="14" t="str">
        <f aca="false">IF(D133="","",IFERROR(INDEX(Pacientes!$D:$D,MATCH(D133,Pacientes!$A:$A,0))&amp;"","ID no existe"))</f>
        <v/>
      </c>
      <c r="G133" s="14" t="str">
        <f aca="false">IF(D133="","",IFERROR(INDEX(Pacientes!$E:$E,MATCH(D133,Pacientes!$A:$A,0))&amp;"","ID no existe"))</f>
        <v/>
      </c>
      <c r="H133" s="9"/>
      <c r="I133" s="6"/>
      <c r="J133" s="6"/>
      <c r="K133" s="6"/>
      <c r="L133" s="7"/>
      <c r="M133" s="7"/>
      <c r="N133" s="6"/>
      <c r="O133" s="6"/>
    </row>
    <row r="134" customFormat="false" ht="15" hidden="false" customHeight="false" outlineLevel="0" collapsed="false">
      <c r="A134" s="6"/>
      <c r="B134" s="10"/>
      <c r="C134" s="16" t="str">
        <f aca="false">IF(B134="","",DATE(YEAR(B134),MONTH(B134),1))</f>
        <v/>
      </c>
      <c r="D134" s="6"/>
      <c r="E134" s="14" t="str">
        <f aca="false">IF(D134="","",IFERROR(INDEX(Pacientes!$Q:$Q,MATCH(D134,Pacientes!$A:$A,0))&amp;"","ID no existe"))</f>
        <v/>
      </c>
      <c r="F134" s="14" t="str">
        <f aca="false">IF(D134="","",IFERROR(INDEX(Pacientes!$D:$D,MATCH(D134,Pacientes!$A:$A,0))&amp;"","ID no existe"))</f>
        <v/>
      </c>
      <c r="G134" s="14" t="str">
        <f aca="false">IF(D134="","",IFERROR(INDEX(Pacientes!$E:$E,MATCH(D134,Pacientes!$A:$A,0))&amp;"","ID no existe"))</f>
        <v/>
      </c>
      <c r="H134" s="9"/>
      <c r="I134" s="6"/>
      <c r="J134" s="6"/>
      <c r="K134" s="6"/>
      <c r="L134" s="7"/>
      <c r="M134" s="7"/>
      <c r="N134" s="6"/>
      <c r="O134" s="6"/>
    </row>
    <row r="135" customFormat="false" ht="15" hidden="false" customHeight="false" outlineLevel="0" collapsed="false">
      <c r="A135" s="6"/>
      <c r="B135" s="10"/>
      <c r="C135" s="16" t="str">
        <f aca="false">IF(B135="","",DATE(YEAR(B135),MONTH(B135),1))</f>
        <v/>
      </c>
      <c r="D135" s="6"/>
      <c r="E135" s="14" t="str">
        <f aca="false">IF(D135="","",IFERROR(INDEX(Pacientes!$Q:$Q,MATCH(D135,Pacientes!$A:$A,0))&amp;"","ID no existe"))</f>
        <v/>
      </c>
      <c r="F135" s="14" t="str">
        <f aca="false">IF(D135="","",IFERROR(INDEX(Pacientes!$D:$D,MATCH(D135,Pacientes!$A:$A,0))&amp;"","ID no existe"))</f>
        <v/>
      </c>
      <c r="G135" s="14" t="str">
        <f aca="false">IF(D135="","",IFERROR(INDEX(Pacientes!$E:$E,MATCH(D135,Pacientes!$A:$A,0))&amp;"","ID no existe"))</f>
        <v/>
      </c>
      <c r="H135" s="9"/>
      <c r="I135" s="6"/>
      <c r="J135" s="6"/>
      <c r="K135" s="6"/>
      <c r="L135" s="7"/>
      <c r="M135" s="7"/>
      <c r="N135" s="6"/>
      <c r="O135" s="6"/>
    </row>
    <row r="136" customFormat="false" ht="15" hidden="false" customHeight="false" outlineLevel="0" collapsed="false">
      <c r="A136" s="6"/>
      <c r="B136" s="10"/>
      <c r="C136" s="16" t="str">
        <f aca="false">IF(B136="","",DATE(YEAR(B136),MONTH(B136),1))</f>
        <v/>
      </c>
      <c r="D136" s="6"/>
      <c r="E136" s="14" t="str">
        <f aca="false">IF(D136="","",IFERROR(INDEX(Pacientes!$Q:$Q,MATCH(D136,Pacientes!$A:$A,0))&amp;"","ID no existe"))</f>
        <v/>
      </c>
      <c r="F136" s="14" t="str">
        <f aca="false">IF(D136="","",IFERROR(INDEX(Pacientes!$D:$D,MATCH(D136,Pacientes!$A:$A,0))&amp;"","ID no existe"))</f>
        <v/>
      </c>
      <c r="G136" s="14" t="str">
        <f aca="false">IF(D136="","",IFERROR(INDEX(Pacientes!$E:$E,MATCH(D136,Pacientes!$A:$A,0))&amp;"","ID no existe"))</f>
        <v/>
      </c>
      <c r="H136" s="9"/>
      <c r="I136" s="6"/>
      <c r="J136" s="6"/>
      <c r="K136" s="6"/>
      <c r="L136" s="7"/>
      <c r="M136" s="7"/>
      <c r="N136" s="6"/>
      <c r="O136" s="6"/>
    </row>
    <row r="137" customFormat="false" ht="15" hidden="false" customHeight="false" outlineLevel="0" collapsed="false">
      <c r="A137" s="6"/>
      <c r="B137" s="10"/>
      <c r="C137" s="16" t="str">
        <f aca="false">IF(B137="","",DATE(YEAR(B137),MONTH(B137),1))</f>
        <v/>
      </c>
      <c r="D137" s="6"/>
      <c r="E137" s="14" t="str">
        <f aca="false">IF(D137="","",IFERROR(INDEX(Pacientes!$Q:$Q,MATCH(D137,Pacientes!$A:$A,0))&amp;"","ID no existe"))</f>
        <v/>
      </c>
      <c r="F137" s="14" t="str">
        <f aca="false">IF(D137="","",IFERROR(INDEX(Pacientes!$D:$D,MATCH(D137,Pacientes!$A:$A,0))&amp;"","ID no existe"))</f>
        <v/>
      </c>
      <c r="G137" s="14" t="str">
        <f aca="false">IF(D137="","",IFERROR(INDEX(Pacientes!$E:$E,MATCH(D137,Pacientes!$A:$A,0))&amp;"","ID no existe"))</f>
        <v/>
      </c>
      <c r="H137" s="9"/>
      <c r="I137" s="6"/>
      <c r="J137" s="6"/>
      <c r="K137" s="6"/>
      <c r="L137" s="7"/>
      <c r="M137" s="7"/>
      <c r="N137" s="6"/>
      <c r="O137" s="6"/>
    </row>
    <row r="138" customFormat="false" ht="15" hidden="false" customHeight="false" outlineLevel="0" collapsed="false">
      <c r="A138" s="6"/>
      <c r="B138" s="10"/>
      <c r="C138" s="16" t="str">
        <f aca="false">IF(B138="","",DATE(YEAR(B138),MONTH(B138),1))</f>
        <v/>
      </c>
      <c r="D138" s="6"/>
      <c r="E138" s="14" t="str">
        <f aca="false">IF(D138="","",IFERROR(INDEX(Pacientes!$Q:$Q,MATCH(D138,Pacientes!$A:$A,0))&amp;"","ID no existe"))</f>
        <v/>
      </c>
      <c r="F138" s="14" t="str">
        <f aca="false">IF(D138="","",IFERROR(INDEX(Pacientes!$D:$D,MATCH(D138,Pacientes!$A:$A,0))&amp;"","ID no existe"))</f>
        <v/>
      </c>
      <c r="G138" s="14" t="str">
        <f aca="false">IF(D138="","",IFERROR(INDEX(Pacientes!$E:$E,MATCH(D138,Pacientes!$A:$A,0))&amp;"","ID no existe"))</f>
        <v/>
      </c>
      <c r="H138" s="9"/>
      <c r="I138" s="6"/>
      <c r="J138" s="6"/>
      <c r="K138" s="6"/>
      <c r="L138" s="7"/>
      <c r="M138" s="7"/>
      <c r="N138" s="6"/>
      <c r="O138" s="6"/>
    </row>
    <row r="139" customFormat="false" ht="15" hidden="false" customHeight="false" outlineLevel="0" collapsed="false">
      <c r="A139" s="6"/>
      <c r="B139" s="10"/>
      <c r="C139" s="16" t="str">
        <f aca="false">IF(B139="","",DATE(YEAR(B139),MONTH(B139),1))</f>
        <v/>
      </c>
      <c r="D139" s="6"/>
      <c r="E139" s="14" t="str">
        <f aca="false">IF(D139="","",IFERROR(INDEX(Pacientes!$Q:$Q,MATCH(D139,Pacientes!$A:$A,0))&amp;"","ID no existe"))</f>
        <v/>
      </c>
      <c r="F139" s="14" t="str">
        <f aca="false">IF(D139="","",IFERROR(INDEX(Pacientes!$D:$D,MATCH(D139,Pacientes!$A:$A,0))&amp;"","ID no existe"))</f>
        <v/>
      </c>
      <c r="G139" s="14" t="str">
        <f aca="false">IF(D139="","",IFERROR(INDEX(Pacientes!$E:$E,MATCH(D139,Pacientes!$A:$A,0))&amp;"","ID no existe"))</f>
        <v/>
      </c>
      <c r="H139" s="9"/>
      <c r="I139" s="6"/>
      <c r="J139" s="6"/>
      <c r="K139" s="6"/>
      <c r="L139" s="7"/>
      <c r="M139" s="7"/>
      <c r="N139" s="6"/>
      <c r="O139" s="6"/>
    </row>
    <row r="140" customFormat="false" ht="15" hidden="false" customHeight="false" outlineLevel="0" collapsed="false">
      <c r="A140" s="6"/>
      <c r="B140" s="10"/>
      <c r="C140" s="16" t="str">
        <f aca="false">IF(B140="","",DATE(YEAR(B140),MONTH(B140),1))</f>
        <v/>
      </c>
      <c r="D140" s="6"/>
      <c r="E140" s="14" t="str">
        <f aca="false">IF(D140="","",IFERROR(INDEX(Pacientes!$Q:$Q,MATCH(D140,Pacientes!$A:$A,0))&amp;"","ID no existe"))</f>
        <v/>
      </c>
      <c r="F140" s="14" t="str">
        <f aca="false">IF(D140="","",IFERROR(INDEX(Pacientes!$D:$D,MATCH(D140,Pacientes!$A:$A,0))&amp;"","ID no existe"))</f>
        <v/>
      </c>
      <c r="G140" s="14" t="str">
        <f aca="false">IF(D140="","",IFERROR(INDEX(Pacientes!$E:$E,MATCH(D140,Pacientes!$A:$A,0))&amp;"","ID no existe"))</f>
        <v/>
      </c>
      <c r="H140" s="9"/>
      <c r="I140" s="6"/>
      <c r="J140" s="6"/>
      <c r="K140" s="6"/>
      <c r="L140" s="7"/>
      <c r="M140" s="7"/>
      <c r="N140" s="6"/>
      <c r="O140" s="6"/>
    </row>
    <row r="141" customFormat="false" ht="15" hidden="false" customHeight="false" outlineLevel="0" collapsed="false">
      <c r="A141" s="6"/>
      <c r="B141" s="10"/>
      <c r="C141" s="16" t="str">
        <f aca="false">IF(B141="","",DATE(YEAR(B141),MONTH(B141),1))</f>
        <v/>
      </c>
      <c r="D141" s="6"/>
      <c r="E141" s="14" t="str">
        <f aca="false">IF(D141="","",IFERROR(INDEX(Pacientes!$Q:$Q,MATCH(D141,Pacientes!$A:$A,0))&amp;"","ID no existe"))</f>
        <v/>
      </c>
      <c r="F141" s="14" t="str">
        <f aca="false">IF(D141="","",IFERROR(INDEX(Pacientes!$D:$D,MATCH(D141,Pacientes!$A:$A,0))&amp;"","ID no existe"))</f>
        <v/>
      </c>
      <c r="G141" s="14" t="str">
        <f aca="false">IF(D141="","",IFERROR(INDEX(Pacientes!$E:$E,MATCH(D141,Pacientes!$A:$A,0))&amp;"","ID no existe"))</f>
        <v/>
      </c>
      <c r="H141" s="9"/>
      <c r="I141" s="6"/>
      <c r="J141" s="6"/>
      <c r="K141" s="6"/>
      <c r="L141" s="7"/>
      <c r="M141" s="7"/>
      <c r="N141" s="6"/>
      <c r="O141" s="6"/>
    </row>
    <row r="142" customFormat="false" ht="15" hidden="false" customHeight="false" outlineLevel="0" collapsed="false">
      <c r="A142" s="6"/>
      <c r="B142" s="10"/>
      <c r="C142" s="16" t="str">
        <f aca="false">IF(B142="","",DATE(YEAR(B142),MONTH(B142),1))</f>
        <v/>
      </c>
      <c r="D142" s="6"/>
      <c r="E142" s="14" t="str">
        <f aca="false">IF(D142="","",IFERROR(INDEX(Pacientes!$Q:$Q,MATCH(D142,Pacientes!$A:$A,0))&amp;"","ID no existe"))</f>
        <v/>
      </c>
      <c r="F142" s="14" t="str">
        <f aca="false">IF(D142="","",IFERROR(INDEX(Pacientes!$D:$D,MATCH(D142,Pacientes!$A:$A,0))&amp;"","ID no existe"))</f>
        <v/>
      </c>
      <c r="G142" s="14" t="str">
        <f aca="false">IF(D142="","",IFERROR(INDEX(Pacientes!$E:$E,MATCH(D142,Pacientes!$A:$A,0))&amp;"","ID no existe"))</f>
        <v/>
      </c>
      <c r="H142" s="9"/>
      <c r="I142" s="6"/>
      <c r="J142" s="6"/>
      <c r="K142" s="6"/>
      <c r="L142" s="7"/>
      <c r="M142" s="7"/>
      <c r="N142" s="6"/>
      <c r="O142" s="6"/>
    </row>
    <row r="143" customFormat="false" ht="15" hidden="false" customHeight="false" outlineLevel="0" collapsed="false">
      <c r="A143" s="6"/>
      <c r="B143" s="10"/>
      <c r="C143" s="16" t="str">
        <f aca="false">IF(B143="","",DATE(YEAR(B143),MONTH(B143),1))</f>
        <v/>
      </c>
      <c r="D143" s="6"/>
      <c r="E143" s="14" t="str">
        <f aca="false">IF(D143="","",IFERROR(INDEX(Pacientes!$Q:$Q,MATCH(D143,Pacientes!$A:$A,0))&amp;"","ID no existe"))</f>
        <v/>
      </c>
      <c r="F143" s="14" t="str">
        <f aca="false">IF(D143="","",IFERROR(INDEX(Pacientes!$D:$D,MATCH(D143,Pacientes!$A:$A,0))&amp;"","ID no existe"))</f>
        <v/>
      </c>
      <c r="G143" s="14" t="str">
        <f aca="false">IF(D143="","",IFERROR(INDEX(Pacientes!$E:$E,MATCH(D143,Pacientes!$A:$A,0))&amp;"","ID no existe"))</f>
        <v/>
      </c>
      <c r="H143" s="9"/>
      <c r="I143" s="6"/>
      <c r="J143" s="6"/>
      <c r="K143" s="6"/>
      <c r="L143" s="7"/>
      <c r="M143" s="7"/>
      <c r="N143" s="6"/>
      <c r="O143" s="6"/>
    </row>
    <row r="144" customFormat="false" ht="15" hidden="false" customHeight="false" outlineLevel="0" collapsed="false">
      <c r="A144" s="6"/>
      <c r="B144" s="10"/>
      <c r="C144" s="16" t="str">
        <f aca="false">IF(B144="","",DATE(YEAR(B144),MONTH(B144),1))</f>
        <v/>
      </c>
      <c r="D144" s="6"/>
      <c r="E144" s="14" t="str">
        <f aca="false">IF(D144="","",IFERROR(INDEX(Pacientes!$Q:$Q,MATCH(D144,Pacientes!$A:$A,0))&amp;"","ID no existe"))</f>
        <v/>
      </c>
      <c r="F144" s="14" t="str">
        <f aca="false">IF(D144="","",IFERROR(INDEX(Pacientes!$D:$D,MATCH(D144,Pacientes!$A:$A,0))&amp;"","ID no existe"))</f>
        <v/>
      </c>
      <c r="G144" s="14" t="str">
        <f aca="false">IF(D144="","",IFERROR(INDEX(Pacientes!$E:$E,MATCH(D144,Pacientes!$A:$A,0))&amp;"","ID no existe"))</f>
        <v/>
      </c>
      <c r="H144" s="9"/>
      <c r="I144" s="6"/>
      <c r="J144" s="6"/>
      <c r="K144" s="6"/>
      <c r="L144" s="7"/>
      <c r="M144" s="7"/>
      <c r="N144" s="6"/>
      <c r="O144" s="6"/>
    </row>
    <row r="145" customFormat="false" ht="15" hidden="false" customHeight="false" outlineLevel="0" collapsed="false">
      <c r="A145" s="6"/>
      <c r="B145" s="10"/>
      <c r="C145" s="16" t="str">
        <f aca="false">IF(B145="","",DATE(YEAR(B145),MONTH(B145),1))</f>
        <v/>
      </c>
      <c r="D145" s="6"/>
      <c r="E145" s="14" t="str">
        <f aca="false">IF(D145="","",IFERROR(INDEX(Pacientes!$Q:$Q,MATCH(D145,Pacientes!$A:$A,0))&amp;"","ID no existe"))</f>
        <v/>
      </c>
      <c r="F145" s="14" t="str">
        <f aca="false">IF(D145="","",IFERROR(INDEX(Pacientes!$D:$D,MATCH(D145,Pacientes!$A:$A,0))&amp;"","ID no existe"))</f>
        <v/>
      </c>
      <c r="G145" s="14" t="str">
        <f aca="false">IF(D145="","",IFERROR(INDEX(Pacientes!$E:$E,MATCH(D145,Pacientes!$A:$A,0))&amp;"","ID no existe"))</f>
        <v/>
      </c>
      <c r="H145" s="9"/>
      <c r="I145" s="6"/>
      <c r="J145" s="6"/>
      <c r="K145" s="6"/>
      <c r="L145" s="7"/>
      <c r="M145" s="7"/>
      <c r="N145" s="6"/>
      <c r="O145" s="6"/>
    </row>
    <row r="146" customFormat="false" ht="15" hidden="false" customHeight="false" outlineLevel="0" collapsed="false">
      <c r="A146" s="6"/>
      <c r="B146" s="10"/>
      <c r="C146" s="16" t="str">
        <f aca="false">IF(B146="","",DATE(YEAR(B146),MONTH(B146),1))</f>
        <v/>
      </c>
      <c r="D146" s="6"/>
      <c r="E146" s="14" t="str">
        <f aca="false">IF(D146="","",IFERROR(INDEX(Pacientes!$Q:$Q,MATCH(D146,Pacientes!$A:$A,0))&amp;"","ID no existe"))</f>
        <v/>
      </c>
      <c r="F146" s="14" t="str">
        <f aca="false">IF(D146="","",IFERROR(INDEX(Pacientes!$D:$D,MATCH(D146,Pacientes!$A:$A,0))&amp;"","ID no existe"))</f>
        <v/>
      </c>
      <c r="G146" s="14" t="str">
        <f aca="false">IF(D146="","",IFERROR(INDEX(Pacientes!$E:$E,MATCH(D146,Pacientes!$A:$A,0))&amp;"","ID no existe"))</f>
        <v/>
      </c>
      <c r="H146" s="9"/>
      <c r="I146" s="6"/>
      <c r="J146" s="6"/>
      <c r="K146" s="6"/>
      <c r="L146" s="7"/>
      <c r="M146" s="7"/>
      <c r="N146" s="6"/>
      <c r="O146" s="6"/>
    </row>
    <row r="147" customFormat="false" ht="15" hidden="false" customHeight="false" outlineLevel="0" collapsed="false">
      <c r="A147" s="6"/>
      <c r="B147" s="10"/>
      <c r="C147" s="16" t="str">
        <f aca="false">IF(B147="","",DATE(YEAR(B147),MONTH(B147),1))</f>
        <v/>
      </c>
      <c r="D147" s="6"/>
      <c r="E147" s="14" t="str">
        <f aca="false">IF(D147="","",IFERROR(INDEX(Pacientes!$Q:$Q,MATCH(D147,Pacientes!$A:$A,0))&amp;"","ID no existe"))</f>
        <v/>
      </c>
      <c r="F147" s="14" t="str">
        <f aca="false">IF(D147="","",IFERROR(INDEX(Pacientes!$D:$D,MATCH(D147,Pacientes!$A:$A,0))&amp;"","ID no existe"))</f>
        <v/>
      </c>
      <c r="G147" s="14" t="str">
        <f aca="false">IF(D147="","",IFERROR(INDEX(Pacientes!$E:$E,MATCH(D147,Pacientes!$A:$A,0))&amp;"","ID no existe"))</f>
        <v/>
      </c>
      <c r="H147" s="9"/>
      <c r="I147" s="6"/>
      <c r="J147" s="6"/>
      <c r="K147" s="6"/>
      <c r="L147" s="7"/>
      <c r="M147" s="7"/>
      <c r="N147" s="6"/>
      <c r="O147" s="6"/>
    </row>
    <row r="148" customFormat="false" ht="15" hidden="false" customHeight="false" outlineLevel="0" collapsed="false">
      <c r="A148" s="6"/>
      <c r="B148" s="10"/>
      <c r="C148" s="16" t="str">
        <f aca="false">IF(B148="","",DATE(YEAR(B148),MONTH(B148),1))</f>
        <v/>
      </c>
      <c r="D148" s="6"/>
      <c r="E148" s="14" t="str">
        <f aca="false">IF(D148="","",IFERROR(INDEX(Pacientes!$Q:$Q,MATCH(D148,Pacientes!$A:$A,0))&amp;"","ID no existe"))</f>
        <v/>
      </c>
      <c r="F148" s="14" t="str">
        <f aca="false">IF(D148="","",IFERROR(INDEX(Pacientes!$D:$D,MATCH(D148,Pacientes!$A:$A,0))&amp;"","ID no existe"))</f>
        <v/>
      </c>
      <c r="G148" s="14" t="str">
        <f aca="false">IF(D148="","",IFERROR(INDEX(Pacientes!$E:$E,MATCH(D148,Pacientes!$A:$A,0))&amp;"","ID no existe"))</f>
        <v/>
      </c>
      <c r="H148" s="9"/>
      <c r="I148" s="6"/>
      <c r="J148" s="6"/>
      <c r="K148" s="6"/>
      <c r="L148" s="7"/>
      <c r="M148" s="7"/>
      <c r="N148" s="6"/>
      <c r="O148" s="6"/>
    </row>
    <row r="149" customFormat="false" ht="15" hidden="false" customHeight="false" outlineLevel="0" collapsed="false">
      <c r="A149" s="6"/>
      <c r="B149" s="10"/>
      <c r="C149" s="16" t="str">
        <f aca="false">IF(B149="","",DATE(YEAR(B149),MONTH(B149),1))</f>
        <v/>
      </c>
      <c r="D149" s="6"/>
      <c r="E149" s="14" t="str">
        <f aca="false">IF(D149="","",IFERROR(INDEX(Pacientes!$Q:$Q,MATCH(D149,Pacientes!$A:$A,0))&amp;"","ID no existe"))</f>
        <v/>
      </c>
      <c r="F149" s="14" t="str">
        <f aca="false">IF(D149="","",IFERROR(INDEX(Pacientes!$D:$D,MATCH(D149,Pacientes!$A:$A,0))&amp;"","ID no existe"))</f>
        <v/>
      </c>
      <c r="G149" s="14" t="str">
        <f aca="false">IF(D149="","",IFERROR(INDEX(Pacientes!$E:$E,MATCH(D149,Pacientes!$A:$A,0))&amp;"","ID no existe"))</f>
        <v/>
      </c>
      <c r="H149" s="9"/>
      <c r="I149" s="6"/>
      <c r="J149" s="6"/>
      <c r="K149" s="6"/>
      <c r="L149" s="7"/>
      <c r="M149" s="7"/>
      <c r="N149" s="6"/>
      <c r="O149" s="6"/>
    </row>
    <row r="150" customFormat="false" ht="15" hidden="false" customHeight="false" outlineLevel="0" collapsed="false">
      <c r="A150" s="6"/>
      <c r="B150" s="10"/>
      <c r="C150" s="16" t="str">
        <f aca="false">IF(B150="","",DATE(YEAR(B150),MONTH(B150),1))</f>
        <v/>
      </c>
      <c r="D150" s="6"/>
      <c r="E150" s="14" t="str">
        <f aca="false">IF(D150="","",IFERROR(INDEX(Pacientes!$Q:$Q,MATCH(D150,Pacientes!$A:$A,0))&amp;"","ID no existe"))</f>
        <v/>
      </c>
      <c r="F150" s="14" t="str">
        <f aca="false">IF(D150="","",IFERROR(INDEX(Pacientes!$D:$D,MATCH(D150,Pacientes!$A:$A,0))&amp;"","ID no existe"))</f>
        <v/>
      </c>
      <c r="G150" s="14" t="str">
        <f aca="false">IF(D150="","",IFERROR(INDEX(Pacientes!$E:$E,MATCH(D150,Pacientes!$A:$A,0))&amp;"","ID no existe"))</f>
        <v/>
      </c>
      <c r="H150" s="9"/>
      <c r="I150" s="6"/>
      <c r="J150" s="6"/>
      <c r="K150" s="6"/>
      <c r="L150" s="7"/>
      <c r="M150" s="7"/>
      <c r="N150" s="6"/>
      <c r="O150" s="6"/>
    </row>
    <row r="151" customFormat="false" ht="15" hidden="false" customHeight="false" outlineLevel="0" collapsed="false">
      <c r="A151" s="6"/>
      <c r="B151" s="10"/>
      <c r="C151" s="16" t="str">
        <f aca="false">IF(B151="","",DATE(YEAR(B151),MONTH(B151),1))</f>
        <v/>
      </c>
      <c r="D151" s="6"/>
      <c r="E151" s="14" t="str">
        <f aca="false">IF(D151="","",IFERROR(INDEX(Pacientes!$Q:$Q,MATCH(D151,Pacientes!$A:$A,0))&amp;"","ID no existe"))</f>
        <v/>
      </c>
      <c r="F151" s="14" t="str">
        <f aca="false">IF(D151="","",IFERROR(INDEX(Pacientes!$D:$D,MATCH(D151,Pacientes!$A:$A,0))&amp;"","ID no existe"))</f>
        <v/>
      </c>
      <c r="G151" s="14" t="str">
        <f aca="false">IF(D151="","",IFERROR(INDEX(Pacientes!$E:$E,MATCH(D151,Pacientes!$A:$A,0))&amp;"","ID no existe"))</f>
        <v/>
      </c>
      <c r="H151" s="9"/>
      <c r="I151" s="6"/>
      <c r="J151" s="6"/>
      <c r="K151" s="6"/>
      <c r="L151" s="7"/>
      <c r="M151" s="7"/>
      <c r="N151" s="6"/>
      <c r="O151" s="6"/>
    </row>
    <row r="152" customFormat="false" ht="15" hidden="false" customHeight="false" outlineLevel="0" collapsed="false">
      <c r="A152" s="6"/>
      <c r="B152" s="10"/>
      <c r="C152" s="16" t="str">
        <f aca="false">IF(B152="","",DATE(YEAR(B152),MONTH(B152),1))</f>
        <v/>
      </c>
      <c r="D152" s="6"/>
      <c r="E152" s="14" t="str">
        <f aca="false">IF(D152="","",IFERROR(INDEX(Pacientes!$Q:$Q,MATCH(D152,Pacientes!$A:$A,0))&amp;"","ID no existe"))</f>
        <v/>
      </c>
      <c r="F152" s="14" t="str">
        <f aca="false">IF(D152="","",IFERROR(INDEX(Pacientes!$D:$D,MATCH(D152,Pacientes!$A:$A,0))&amp;"","ID no existe"))</f>
        <v/>
      </c>
      <c r="G152" s="14" t="str">
        <f aca="false">IF(D152="","",IFERROR(INDEX(Pacientes!$E:$E,MATCH(D152,Pacientes!$A:$A,0))&amp;"","ID no existe"))</f>
        <v/>
      </c>
      <c r="H152" s="9"/>
      <c r="I152" s="6"/>
      <c r="J152" s="6"/>
      <c r="K152" s="6"/>
      <c r="L152" s="7"/>
      <c r="M152" s="7"/>
      <c r="N152" s="6"/>
      <c r="O152" s="6"/>
    </row>
    <row r="153" customFormat="false" ht="15" hidden="false" customHeight="false" outlineLevel="0" collapsed="false">
      <c r="A153" s="6"/>
      <c r="B153" s="10"/>
      <c r="C153" s="16" t="str">
        <f aca="false">IF(B153="","",DATE(YEAR(B153),MONTH(B153),1))</f>
        <v/>
      </c>
      <c r="D153" s="6"/>
      <c r="E153" s="14" t="str">
        <f aca="false">IF(D153="","",IFERROR(INDEX(Pacientes!$Q:$Q,MATCH(D153,Pacientes!$A:$A,0))&amp;"","ID no existe"))</f>
        <v/>
      </c>
      <c r="F153" s="14" t="str">
        <f aca="false">IF(D153="","",IFERROR(INDEX(Pacientes!$D:$D,MATCH(D153,Pacientes!$A:$A,0))&amp;"","ID no existe"))</f>
        <v/>
      </c>
      <c r="G153" s="14" t="str">
        <f aca="false">IF(D153="","",IFERROR(INDEX(Pacientes!$E:$E,MATCH(D153,Pacientes!$A:$A,0))&amp;"","ID no existe"))</f>
        <v/>
      </c>
      <c r="H153" s="9"/>
      <c r="I153" s="6"/>
      <c r="J153" s="6"/>
      <c r="K153" s="6"/>
      <c r="L153" s="7"/>
      <c r="M153" s="7"/>
      <c r="N153" s="6"/>
      <c r="O153" s="6"/>
    </row>
    <row r="154" customFormat="false" ht="15" hidden="false" customHeight="false" outlineLevel="0" collapsed="false">
      <c r="A154" s="6"/>
      <c r="B154" s="10"/>
      <c r="C154" s="16" t="str">
        <f aca="false">IF(B154="","",DATE(YEAR(B154),MONTH(B154),1))</f>
        <v/>
      </c>
      <c r="D154" s="6"/>
      <c r="E154" s="14" t="str">
        <f aca="false">IF(D154="","",IFERROR(INDEX(Pacientes!$Q:$Q,MATCH(D154,Pacientes!$A:$A,0))&amp;"","ID no existe"))</f>
        <v/>
      </c>
      <c r="F154" s="14" t="str">
        <f aca="false">IF(D154="","",IFERROR(INDEX(Pacientes!$D:$D,MATCH(D154,Pacientes!$A:$A,0))&amp;"","ID no existe"))</f>
        <v/>
      </c>
      <c r="G154" s="14" t="str">
        <f aca="false">IF(D154="","",IFERROR(INDEX(Pacientes!$E:$E,MATCH(D154,Pacientes!$A:$A,0))&amp;"","ID no existe"))</f>
        <v/>
      </c>
      <c r="H154" s="9"/>
      <c r="I154" s="6"/>
      <c r="J154" s="6"/>
      <c r="K154" s="6"/>
      <c r="L154" s="7"/>
      <c r="M154" s="7"/>
      <c r="N154" s="6"/>
      <c r="O154" s="6"/>
    </row>
    <row r="155" customFormat="false" ht="15" hidden="false" customHeight="false" outlineLevel="0" collapsed="false">
      <c r="A155" s="6"/>
      <c r="B155" s="10"/>
      <c r="C155" s="16" t="str">
        <f aca="false">IF(B155="","",DATE(YEAR(B155),MONTH(B155),1))</f>
        <v/>
      </c>
      <c r="D155" s="6"/>
      <c r="E155" s="14" t="str">
        <f aca="false">IF(D155="","",IFERROR(INDEX(Pacientes!$Q:$Q,MATCH(D155,Pacientes!$A:$A,0))&amp;"","ID no existe"))</f>
        <v/>
      </c>
      <c r="F155" s="14" t="str">
        <f aca="false">IF(D155="","",IFERROR(INDEX(Pacientes!$D:$D,MATCH(D155,Pacientes!$A:$A,0))&amp;"","ID no existe"))</f>
        <v/>
      </c>
      <c r="G155" s="14" t="str">
        <f aca="false">IF(D155="","",IFERROR(INDEX(Pacientes!$E:$E,MATCH(D155,Pacientes!$A:$A,0))&amp;"","ID no existe"))</f>
        <v/>
      </c>
      <c r="H155" s="9"/>
      <c r="I155" s="6"/>
      <c r="J155" s="6"/>
      <c r="K155" s="6"/>
      <c r="L155" s="7"/>
      <c r="M155" s="7"/>
      <c r="N155" s="6"/>
      <c r="O155" s="6"/>
    </row>
    <row r="156" customFormat="false" ht="15" hidden="false" customHeight="false" outlineLevel="0" collapsed="false">
      <c r="A156" s="6"/>
      <c r="B156" s="10"/>
      <c r="C156" s="16" t="str">
        <f aca="false">IF(B156="","",DATE(YEAR(B156),MONTH(B156),1))</f>
        <v/>
      </c>
      <c r="D156" s="6"/>
      <c r="E156" s="14" t="str">
        <f aca="false">IF(D156="","",IFERROR(INDEX(Pacientes!$Q:$Q,MATCH(D156,Pacientes!$A:$A,0))&amp;"","ID no existe"))</f>
        <v/>
      </c>
      <c r="F156" s="14" t="str">
        <f aca="false">IF(D156="","",IFERROR(INDEX(Pacientes!$D:$D,MATCH(D156,Pacientes!$A:$A,0))&amp;"","ID no existe"))</f>
        <v/>
      </c>
      <c r="G156" s="14" t="str">
        <f aca="false">IF(D156="","",IFERROR(INDEX(Pacientes!$E:$E,MATCH(D156,Pacientes!$A:$A,0))&amp;"","ID no existe"))</f>
        <v/>
      </c>
      <c r="H156" s="9"/>
      <c r="I156" s="6"/>
      <c r="J156" s="6"/>
      <c r="K156" s="6"/>
      <c r="L156" s="7"/>
      <c r="M156" s="7"/>
      <c r="N156" s="6"/>
      <c r="O156" s="6"/>
    </row>
    <row r="157" customFormat="false" ht="15" hidden="false" customHeight="false" outlineLevel="0" collapsed="false">
      <c r="A157" s="6"/>
      <c r="B157" s="10"/>
      <c r="C157" s="16" t="str">
        <f aca="false">IF(B157="","",DATE(YEAR(B157),MONTH(B157),1))</f>
        <v/>
      </c>
      <c r="D157" s="6"/>
      <c r="E157" s="14" t="str">
        <f aca="false">IF(D157="","",IFERROR(INDEX(Pacientes!$Q:$Q,MATCH(D157,Pacientes!$A:$A,0))&amp;"","ID no existe"))</f>
        <v/>
      </c>
      <c r="F157" s="14" t="str">
        <f aca="false">IF(D157="","",IFERROR(INDEX(Pacientes!$D:$D,MATCH(D157,Pacientes!$A:$A,0))&amp;"","ID no existe"))</f>
        <v/>
      </c>
      <c r="G157" s="14" t="str">
        <f aca="false">IF(D157="","",IFERROR(INDEX(Pacientes!$E:$E,MATCH(D157,Pacientes!$A:$A,0))&amp;"","ID no existe"))</f>
        <v/>
      </c>
      <c r="H157" s="9"/>
      <c r="I157" s="6"/>
      <c r="J157" s="6"/>
      <c r="K157" s="6"/>
      <c r="L157" s="7"/>
      <c r="M157" s="7"/>
      <c r="N157" s="6"/>
      <c r="O157" s="6"/>
    </row>
    <row r="158" customFormat="false" ht="15" hidden="false" customHeight="false" outlineLevel="0" collapsed="false">
      <c r="A158" s="6"/>
      <c r="B158" s="10"/>
      <c r="C158" s="16" t="str">
        <f aca="false">IF(B158="","",DATE(YEAR(B158),MONTH(B158),1))</f>
        <v/>
      </c>
      <c r="D158" s="6"/>
      <c r="E158" s="14" t="str">
        <f aca="false">IF(D158="","",IFERROR(INDEX(Pacientes!$Q:$Q,MATCH(D158,Pacientes!$A:$A,0))&amp;"","ID no existe"))</f>
        <v/>
      </c>
      <c r="F158" s="14" t="str">
        <f aca="false">IF(D158="","",IFERROR(INDEX(Pacientes!$D:$D,MATCH(D158,Pacientes!$A:$A,0))&amp;"","ID no existe"))</f>
        <v/>
      </c>
      <c r="G158" s="14" t="str">
        <f aca="false">IF(D158="","",IFERROR(INDEX(Pacientes!$E:$E,MATCH(D158,Pacientes!$A:$A,0))&amp;"","ID no existe"))</f>
        <v/>
      </c>
      <c r="H158" s="9"/>
      <c r="I158" s="6"/>
      <c r="J158" s="6"/>
      <c r="K158" s="6"/>
      <c r="L158" s="7"/>
      <c r="M158" s="7"/>
      <c r="N158" s="6"/>
      <c r="O158" s="6"/>
    </row>
    <row r="159" customFormat="false" ht="15" hidden="false" customHeight="false" outlineLevel="0" collapsed="false">
      <c r="A159" s="6"/>
      <c r="B159" s="10"/>
      <c r="C159" s="16" t="str">
        <f aca="false">IF(B159="","",DATE(YEAR(B159),MONTH(B159),1))</f>
        <v/>
      </c>
      <c r="D159" s="6"/>
      <c r="E159" s="14" t="str">
        <f aca="false">IF(D159="","",IFERROR(INDEX(Pacientes!$Q:$Q,MATCH(D159,Pacientes!$A:$A,0))&amp;"","ID no existe"))</f>
        <v/>
      </c>
      <c r="F159" s="14" t="str">
        <f aca="false">IF(D159="","",IFERROR(INDEX(Pacientes!$D:$D,MATCH(D159,Pacientes!$A:$A,0))&amp;"","ID no existe"))</f>
        <v/>
      </c>
      <c r="G159" s="14" t="str">
        <f aca="false">IF(D159="","",IFERROR(INDEX(Pacientes!$E:$E,MATCH(D159,Pacientes!$A:$A,0))&amp;"","ID no existe"))</f>
        <v/>
      </c>
      <c r="H159" s="9"/>
      <c r="I159" s="6"/>
      <c r="J159" s="6"/>
      <c r="K159" s="6"/>
      <c r="L159" s="7"/>
      <c r="M159" s="7"/>
      <c r="N159" s="6"/>
      <c r="O159" s="6"/>
    </row>
    <row r="160" customFormat="false" ht="15" hidden="false" customHeight="false" outlineLevel="0" collapsed="false">
      <c r="A160" s="6"/>
      <c r="B160" s="10"/>
      <c r="C160" s="16" t="str">
        <f aca="false">IF(B160="","",DATE(YEAR(B160),MONTH(B160),1))</f>
        <v/>
      </c>
      <c r="D160" s="6"/>
      <c r="E160" s="14" t="str">
        <f aca="false">IF(D160="","",IFERROR(INDEX(Pacientes!$Q:$Q,MATCH(D160,Pacientes!$A:$A,0))&amp;"","ID no existe"))</f>
        <v/>
      </c>
      <c r="F160" s="14" t="str">
        <f aca="false">IF(D160="","",IFERROR(INDEX(Pacientes!$D:$D,MATCH(D160,Pacientes!$A:$A,0))&amp;"","ID no existe"))</f>
        <v/>
      </c>
      <c r="G160" s="14" t="str">
        <f aca="false">IF(D160="","",IFERROR(INDEX(Pacientes!$E:$E,MATCH(D160,Pacientes!$A:$A,0))&amp;"","ID no existe"))</f>
        <v/>
      </c>
      <c r="H160" s="9"/>
      <c r="I160" s="6"/>
      <c r="J160" s="6"/>
      <c r="K160" s="6"/>
      <c r="L160" s="7"/>
      <c r="M160" s="7"/>
      <c r="N160" s="6"/>
      <c r="O160" s="6"/>
    </row>
    <row r="161" customFormat="false" ht="15" hidden="false" customHeight="false" outlineLevel="0" collapsed="false">
      <c r="A161" s="6"/>
      <c r="B161" s="10"/>
      <c r="C161" s="16" t="str">
        <f aca="false">IF(B161="","",DATE(YEAR(B161),MONTH(B161),1))</f>
        <v/>
      </c>
      <c r="D161" s="6"/>
      <c r="E161" s="14" t="str">
        <f aca="false">IF(D161="","",IFERROR(INDEX(Pacientes!$Q:$Q,MATCH(D161,Pacientes!$A:$A,0))&amp;"","ID no existe"))</f>
        <v/>
      </c>
      <c r="F161" s="14" t="str">
        <f aca="false">IF(D161="","",IFERROR(INDEX(Pacientes!$D:$D,MATCH(D161,Pacientes!$A:$A,0))&amp;"","ID no existe"))</f>
        <v/>
      </c>
      <c r="G161" s="14" t="str">
        <f aca="false">IF(D161="","",IFERROR(INDEX(Pacientes!$E:$E,MATCH(D161,Pacientes!$A:$A,0))&amp;"","ID no existe"))</f>
        <v/>
      </c>
      <c r="H161" s="9"/>
      <c r="I161" s="6"/>
      <c r="J161" s="6"/>
      <c r="K161" s="6"/>
      <c r="L161" s="7"/>
      <c r="M161" s="7"/>
      <c r="N161" s="6"/>
      <c r="O161" s="6"/>
    </row>
    <row r="162" customFormat="false" ht="15" hidden="false" customHeight="false" outlineLevel="0" collapsed="false">
      <c r="A162" s="6"/>
      <c r="B162" s="10"/>
      <c r="C162" s="16" t="str">
        <f aca="false">IF(B162="","",DATE(YEAR(B162),MONTH(B162),1))</f>
        <v/>
      </c>
      <c r="D162" s="6"/>
      <c r="E162" s="14" t="str">
        <f aca="false">IF(D162="","",IFERROR(INDEX(Pacientes!$Q:$Q,MATCH(D162,Pacientes!$A:$A,0))&amp;"","ID no existe"))</f>
        <v/>
      </c>
      <c r="F162" s="14" t="str">
        <f aca="false">IF(D162="","",IFERROR(INDEX(Pacientes!$D:$D,MATCH(D162,Pacientes!$A:$A,0))&amp;"","ID no existe"))</f>
        <v/>
      </c>
      <c r="G162" s="14" t="str">
        <f aca="false">IF(D162="","",IFERROR(INDEX(Pacientes!$E:$E,MATCH(D162,Pacientes!$A:$A,0))&amp;"","ID no existe"))</f>
        <v/>
      </c>
      <c r="H162" s="9"/>
      <c r="I162" s="6"/>
      <c r="J162" s="6"/>
      <c r="K162" s="6"/>
      <c r="L162" s="7"/>
      <c r="M162" s="7"/>
      <c r="N162" s="6"/>
      <c r="O162" s="6"/>
    </row>
    <row r="163" customFormat="false" ht="15" hidden="false" customHeight="false" outlineLevel="0" collapsed="false">
      <c r="A163" s="6"/>
      <c r="B163" s="10"/>
      <c r="C163" s="16" t="str">
        <f aca="false">IF(B163="","",DATE(YEAR(B163),MONTH(B163),1))</f>
        <v/>
      </c>
      <c r="D163" s="6"/>
      <c r="E163" s="14" t="str">
        <f aca="false">IF(D163="","",IFERROR(INDEX(Pacientes!$Q:$Q,MATCH(D163,Pacientes!$A:$A,0))&amp;"","ID no existe"))</f>
        <v/>
      </c>
      <c r="F163" s="14" t="str">
        <f aca="false">IF(D163="","",IFERROR(INDEX(Pacientes!$D:$D,MATCH(D163,Pacientes!$A:$A,0))&amp;"","ID no existe"))</f>
        <v/>
      </c>
      <c r="G163" s="14" t="str">
        <f aca="false">IF(D163="","",IFERROR(INDEX(Pacientes!$E:$E,MATCH(D163,Pacientes!$A:$A,0))&amp;"","ID no existe"))</f>
        <v/>
      </c>
      <c r="H163" s="9"/>
      <c r="I163" s="6"/>
      <c r="J163" s="6"/>
      <c r="K163" s="6"/>
      <c r="L163" s="7"/>
      <c r="M163" s="7"/>
      <c r="N163" s="6"/>
      <c r="O163" s="6"/>
    </row>
    <row r="164" customFormat="false" ht="15" hidden="false" customHeight="false" outlineLevel="0" collapsed="false">
      <c r="A164" s="6"/>
      <c r="B164" s="10"/>
      <c r="C164" s="16" t="str">
        <f aca="false">IF(B164="","",DATE(YEAR(B164),MONTH(B164),1))</f>
        <v/>
      </c>
      <c r="D164" s="6"/>
      <c r="E164" s="14" t="str">
        <f aca="false">IF(D164="","",IFERROR(INDEX(Pacientes!$Q:$Q,MATCH(D164,Pacientes!$A:$A,0))&amp;"","ID no existe"))</f>
        <v/>
      </c>
      <c r="F164" s="14" t="str">
        <f aca="false">IF(D164="","",IFERROR(INDEX(Pacientes!$D:$D,MATCH(D164,Pacientes!$A:$A,0))&amp;"","ID no existe"))</f>
        <v/>
      </c>
      <c r="G164" s="14" t="str">
        <f aca="false">IF(D164="","",IFERROR(INDEX(Pacientes!$E:$E,MATCH(D164,Pacientes!$A:$A,0))&amp;"","ID no existe"))</f>
        <v/>
      </c>
      <c r="H164" s="9"/>
      <c r="I164" s="6"/>
      <c r="J164" s="6"/>
      <c r="K164" s="6"/>
      <c r="L164" s="7"/>
      <c r="M164" s="7"/>
      <c r="N164" s="6"/>
      <c r="O164" s="6"/>
    </row>
    <row r="165" customFormat="false" ht="15" hidden="false" customHeight="false" outlineLevel="0" collapsed="false">
      <c r="A165" s="6"/>
      <c r="B165" s="10"/>
      <c r="C165" s="16" t="str">
        <f aca="false">IF(B165="","",DATE(YEAR(B165),MONTH(B165),1))</f>
        <v/>
      </c>
      <c r="D165" s="6"/>
      <c r="E165" s="14" t="str">
        <f aca="false">IF(D165="","",IFERROR(INDEX(Pacientes!$Q:$Q,MATCH(D165,Pacientes!$A:$A,0))&amp;"","ID no existe"))</f>
        <v/>
      </c>
      <c r="F165" s="14" t="str">
        <f aca="false">IF(D165="","",IFERROR(INDEX(Pacientes!$D:$D,MATCH(D165,Pacientes!$A:$A,0))&amp;"","ID no existe"))</f>
        <v/>
      </c>
      <c r="G165" s="14" t="str">
        <f aca="false">IF(D165="","",IFERROR(INDEX(Pacientes!$E:$E,MATCH(D165,Pacientes!$A:$A,0))&amp;"","ID no existe"))</f>
        <v/>
      </c>
      <c r="H165" s="9"/>
      <c r="I165" s="6"/>
      <c r="J165" s="6"/>
      <c r="K165" s="6"/>
      <c r="L165" s="7"/>
      <c r="M165" s="7"/>
      <c r="N165" s="6"/>
      <c r="O165" s="6"/>
    </row>
    <row r="166" customFormat="false" ht="15" hidden="false" customHeight="false" outlineLevel="0" collapsed="false">
      <c r="A166" s="6"/>
      <c r="B166" s="10"/>
      <c r="C166" s="16" t="str">
        <f aca="false">IF(B166="","",DATE(YEAR(B166),MONTH(B166),1))</f>
        <v/>
      </c>
      <c r="D166" s="6"/>
      <c r="E166" s="14" t="str">
        <f aca="false">IF(D166="","",IFERROR(INDEX(Pacientes!$Q:$Q,MATCH(D166,Pacientes!$A:$A,0))&amp;"","ID no existe"))</f>
        <v/>
      </c>
      <c r="F166" s="14" t="str">
        <f aca="false">IF(D166="","",IFERROR(INDEX(Pacientes!$D:$D,MATCH(D166,Pacientes!$A:$A,0))&amp;"","ID no existe"))</f>
        <v/>
      </c>
      <c r="G166" s="14" t="str">
        <f aca="false">IF(D166="","",IFERROR(INDEX(Pacientes!$E:$E,MATCH(D166,Pacientes!$A:$A,0))&amp;"","ID no existe"))</f>
        <v/>
      </c>
      <c r="H166" s="9"/>
      <c r="I166" s="6"/>
      <c r="J166" s="6"/>
      <c r="K166" s="6"/>
      <c r="L166" s="7"/>
      <c r="M166" s="7"/>
      <c r="N166" s="6"/>
      <c r="O166" s="6"/>
    </row>
    <row r="167" customFormat="false" ht="15" hidden="false" customHeight="false" outlineLevel="0" collapsed="false">
      <c r="A167" s="6"/>
      <c r="B167" s="10"/>
      <c r="C167" s="16" t="str">
        <f aca="false">IF(B167="","",DATE(YEAR(B167),MONTH(B167),1))</f>
        <v/>
      </c>
      <c r="D167" s="6"/>
      <c r="E167" s="14" t="str">
        <f aca="false">IF(D167="","",IFERROR(INDEX(Pacientes!$Q:$Q,MATCH(D167,Pacientes!$A:$A,0))&amp;"","ID no existe"))</f>
        <v/>
      </c>
      <c r="F167" s="14" t="str">
        <f aca="false">IF(D167="","",IFERROR(INDEX(Pacientes!$D:$D,MATCH(D167,Pacientes!$A:$A,0))&amp;"","ID no existe"))</f>
        <v/>
      </c>
      <c r="G167" s="14" t="str">
        <f aca="false">IF(D167="","",IFERROR(INDEX(Pacientes!$E:$E,MATCH(D167,Pacientes!$A:$A,0))&amp;"","ID no existe"))</f>
        <v/>
      </c>
      <c r="H167" s="9"/>
      <c r="I167" s="6"/>
      <c r="J167" s="6"/>
      <c r="K167" s="6"/>
      <c r="L167" s="7"/>
      <c r="M167" s="7"/>
      <c r="N167" s="6"/>
      <c r="O167" s="6"/>
    </row>
    <row r="168" customFormat="false" ht="15" hidden="false" customHeight="false" outlineLevel="0" collapsed="false">
      <c r="A168" s="6"/>
      <c r="B168" s="10"/>
      <c r="C168" s="16" t="str">
        <f aca="false">IF(B168="","",DATE(YEAR(B168),MONTH(B168),1))</f>
        <v/>
      </c>
      <c r="D168" s="6"/>
      <c r="E168" s="14" t="str">
        <f aca="false">IF(D168="","",IFERROR(INDEX(Pacientes!$Q:$Q,MATCH(D168,Pacientes!$A:$A,0))&amp;"","ID no existe"))</f>
        <v/>
      </c>
      <c r="F168" s="14" t="str">
        <f aca="false">IF(D168="","",IFERROR(INDEX(Pacientes!$D:$D,MATCH(D168,Pacientes!$A:$A,0))&amp;"","ID no existe"))</f>
        <v/>
      </c>
      <c r="G168" s="14" t="str">
        <f aca="false">IF(D168="","",IFERROR(INDEX(Pacientes!$E:$E,MATCH(D168,Pacientes!$A:$A,0))&amp;"","ID no existe"))</f>
        <v/>
      </c>
      <c r="H168" s="9"/>
      <c r="I168" s="6"/>
      <c r="J168" s="6"/>
      <c r="K168" s="6"/>
      <c r="L168" s="7"/>
      <c r="M168" s="7"/>
      <c r="N168" s="6"/>
      <c r="O168" s="6"/>
    </row>
    <row r="169" customFormat="false" ht="15" hidden="false" customHeight="false" outlineLevel="0" collapsed="false">
      <c r="A169" s="6"/>
      <c r="B169" s="10"/>
      <c r="C169" s="16" t="str">
        <f aca="false">IF(B169="","",DATE(YEAR(B169),MONTH(B169),1))</f>
        <v/>
      </c>
      <c r="D169" s="6"/>
      <c r="E169" s="14" t="str">
        <f aca="false">IF(D169="","",IFERROR(INDEX(Pacientes!$Q:$Q,MATCH(D169,Pacientes!$A:$A,0))&amp;"","ID no existe"))</f>
        <v/>
      </c>
      <c r="F169" s="14" t="str">
        <f aca="false">IF(D169="","",IFERROR(INDEX(Pacientes!$D:$D,MATCH(D169,Pacientes!$A:$A,0))&amp;"","ID no existe"))</f>
        <v/>
      </c>
      <c r="G169" s="14" t="str">
        <f aca="false">IF(D169="","",IFERROR(INDEX(Pacientes!$E:$E,MATCH(D169,Pacientes!$A:$A,0))&amp;"","ID no existe"))</f>
        <v/>
      </c>
      <c r="H169" s="9"/>
      <c r="I169" s="6"/>
      <c r="J169" s="6"/>
      <c r="K169" s="6"/>
      <c r="L169" s="7"/>
      <c r="M169" s="7"/>
      <c r="N169" s="6"/>
      <c r="O169" s="6"/>
    </row>
    <row r="170" customFormat="false" ht="15" hidden="false" customHeight="false" outlineLevel="0" collapsed="false">
      <c r="A170" s="6"/>
      <c r="B170" s="10"/>
      <c r="C170" s="16" t="str">
        <f aca="false">IF(B170="","",DATE(YEAR(B170),MONTH(B170),1))</f>
        <v/>
      </c>
      <c r="D170" s="6"/>
      <c r="E170" s="14" t="str">
        <f aca="false">IF(D170="","",IFERROR(INDEX(Pacientes!$Q:$Q,MATCH(D170,Pacientes!$A:$A,0))&amp;"","ID no existe"))</f>
        <v/>
      </c>
      <c r="F170" s="14" t="str">
        <f aca="false">IF(D170="","",IFERROR(INDEX(Pacientes!$D:$D,MATCH(D170,Pacientes!$A:$A,0))&amp;"","ID no existe"))</f>
        <v/>
      </c>
      <c r="G170" s="14" t="str">
        <f aca="false">IF(D170="","",IFERROR(INDEX(Pacientes!$E:$E,MATCH(D170,Pacientes!$A:$A,0))&amp;"","ID no existe"))</f>
        <v/>
      </c>
      <c r="H170" s="9"/>
      <c r="I170" s="6"/>
      <c r="J170" s="6"/>
      <c r="K170" s="6"/>
      <c r="L170" s="7"/>
      <c r="M170" s="7"/>
      <c r="N170" s="6"/>
      <c r="O170" s="6"/>
    </row>
    <row r="171" customFormat="false" ht="15" hidden="false" customHeight="false" outlineLevel="0" collapsed="false">
      <c r="A171" s="6"/>
      <c r="B171" s="10"/>
      <c r="C171" s="16" t="str">
        <f aca="false">IF(B171="","",DATE(YEAR(B171),MONTH(B171),1))</f>
        <v/>
      </c>
      <c r="D171" s="6"/>
      <c r="E171" s="14" t="str">
        <f aca="false">IF(D171="","",IFERROR(INDEX(Pacientes!$Q:$Q,MATCH(D171,Pacientes!$A:$A,0))&amp;"","ID no existe"))</f>
        <v/>
      </c>
      <c r="F171" s="14" t="str">
        <f aca="false">IF(D171="","",IFERROR(INDEX(Pacientes!$D:$D,MATCH(D171,Pacientes!$A:$A,0))&amp;"","ID no existe"))</f>
        <v/>
      </c>
      <c r="G171" s="14" t="str">
        <f aca="false">IF(D171="","",IFERROR(INDEX(Pacientes!$E:$E,MATCH(D171,Pacientes!$A:$A,0))&amp;"","ID no existe"))</f>
        <v/>
      </c>
      <c r="H171" s="9"/>
      <c r="I171" s="6"/>
      <c r="J171" s="6"/>
      <c r="K171" s="6"/>
      <c r="L171" s="7"/>
      <c r="M171" s="7"/>
      <c r="N171" s="6"/>
      <c r="O171" s="6"/>
    </row>
    <row r="172" customFormat="false" ht="15" hidden="false" customHeight="false" outlineLevel="0" collapsed="false">
      <c r="A172" s="6"/>
      <c r="B172" s="10"/>
      <c r="C172" s="16" t="str">
        <f aca="false">IF(B172="","",DATE(YEAR(B172),MONTH(B172),1))</f>
        <v/>
      </c>
      <c r="D172" s="6"/>
      <c r="E172" s="14" t="str">
        <f aca="false">IF(D172="","",IFERROR(INDEX(Pacientes!$Q:$Q,MATCH(D172,Pacientes!$A:$A,0))&amp;"","ID no existe"))</f>
        <v/>
      </c>
      <c r="F172" s="14" t="str">
        <f aca="false">IF(D172="","",IFERROR(INDEX(Pacientes!$D:$D,MATCH(D172,Pacientes!$A:$A,0))&amp;"","ID no existe"))</f>
        <v/>
      </c>
      <c r="G172" s="14" t="str">
        <f aca="false">IF(D172="","",IFERROR(INDEX(Pacientes!$E:$E,MATCH(D172,Pacientes!$A:$A,0))&amp;"","ID no existe"))</f>
        <v/>
      </c>
      <c r="H172" s="9"/>
      <c r="I172" s="6"/>
      <c r="J172" s="6"/>
      <c r="K172" s="6"/>
      <c r="L172" s="7"/>
      <c r="M172" s="7"/>
      <c r="N172" s="6"/>
      <c r="O172" s="6"/>
    </row>
    <row r="173" customFormat="false" ht="15" hidden="false" customHeight="false" outlineLevel="0" collapsed="false">
      <c r="A173" s="6"/>
      <c r="B173" s="10"/>
      <c r="C173" s="16" t="str">
        <f aca="false">IF(B173="","",DATE(YEAR(B173),MONTH(B173),1))</f>
        <v/>
      </c>
      <c r="D173" s="6"/>
      <c r="E173" s="14" t="str">
        <f aca="false">IF(D173="","",IFERROR(INDEX(Pacientes!$Q:$Q,MATCH(D173,Pacientes!$A:$A,0))&amp;"","ID no existe"))</f>
        <v/>
      </c>
      <c r="F173" s="14" t="str">
        <f aca="false">IF(D173="","",IFERROR(INDEX(Pacientes!$D:$D,MATCH(D173,Pacientes!$A:$A,0))&amp;"","ID no existe"))</f>
        <v/>
      </c>
      <c r="G173" s="14" t="str">
        <f aca="false">IF(D173="","",IFERROR(INDEX(Pacientes!$E:$E,MATCH(D173,Pacientes!$A:$A,0))&amp;"","ID no existe"))</f>
        <v/>
      </c>
      <c r="H173" s="9"/>
      <c r="I173" s="6"/>
      <c r="J173" s="6"/>
      <c r="K173" s="6"/>
      <c r="L173" s="7"/>
      <c r="M173" s="7"/>
      <c r="N173" s="6"/>
      <c r="O173" s="6"/>
    </row>
    <row r="174" customFormat="false" ht="15" hidden="false" customHeight="false" outlineLevel="0" collapsed="false">
      <c r="A174" s="6"/>
      <c r="B174" s="10"/>
      <c r="C174" s="16" t="str">
        <f aca="false">IF(B174="","",DATE(YEAR(B174),MONTH(B174),1))</f>
        <v/>
      </c>
      <c r="D174" s="6"/>
      <c r="E174" s="14" t="str">
        <f aca="false">IF(D174="","",IFERROR(INDEX(Pacientes!$Q:$Q,MATCH(D174,Pacientes!$A:$A,0))&amp;"","ID no existe"))</f>
        <v/>
      </c>
      <c r="F174" s="14" t="str">
        <f aca="false">IF(D174="","",IFERROR(INDEX(Pacientes!$D:$D,MATCH(D174,Pacientes!$A:$A,0))&amp;"","ID no existe"))</f>
        <v/>
      </c>
      <c r="G174" s="14" t="str">
        <f aca="false">IF(D174="","",IFERROR(INDEX(Pacientes!$E:$E,MATCH(D174,Pacientes!$A:$A,0))&amp;"","ID no existe"))</f>
        <v/>
      </c>
      <c r="H174" s="9"/>
      <c r="I174" s="6"/>
      <c r="J174" s="6"/>
      <c r="K174" s="6"/>
      <c r="L174" s="7"/>
      <c r="M174" s="7"/>
      <c r="N174" s="6"/>
      <c r="O174" s="6"/>
    </row>
    <row r="175" customFormat="false" ht="15" hidden="false" customHeight="false" outlineLevel="0" collapsed="false">
      <c r="A175" s="6"/>
      <c r="B175" s="10"/>
      <c r="C175" s="16" t="str">
        <f aca="false">IF(B175="","",DATE(YEAR(B175),MONTH(B175),1))</f>
        <v/>
      </c>
      <c r="D175" s="6"/>
      <c r="E175" s="14" t="str">
        <f aca="false">IF(D175="","",IFERROR(INDEX(Pacientes!$Q:$Q,MATCH(D175,Pacientes!$A:$A,0))&amp;"","ID no existe"))</f>
        <v/>
      </c>
      <c r="F175" s="14" t="str">
        <f aca="false">IF(D175="","",IFERROR(INDEX(Pacientes!$D:$D,MATCH(D175,Pacientes!$A:$A,0))&amp;"","ID no existe"))</f>
        <v/>
      </c>
      <c r="G175" s="14" t="str">
        <f aca="false">IF(D175="","",IFERROR(INDEX(Pacientes!$E:$E,MATCH(D175,Pacientes!$A:$A,0))&amp;"","ID no existe"))</f>
        <v/>
      </c>
      <c r="H175" s="9"/>
      <c r="I175" s="6"/>
      <c r="J175" s="6"/>
      <c r="K175" s="6"/>
      <c r="L175" s="7"/>
      <c r="M175" s="7"/>
      <c r="N175" s="6"/>
      <c r="O175" s="6"/>
    </row>
    <row r="176" customFormat="false" ht="15" hidden="false" customHeight="false" outlineLevel="0" collapsed="false">
      <c r="A176" s="6"/>
      <c r="B176" s="10"/>
      <c r="C176" s="16" t="str">
        <f aca="false">IF(B176="","",DATE(YEAR(B176),MONTH(B176),1))</f>
        <v/>
      </c>
      <c r="D176" s="6"/>
      <c r="E176" s="14" t="str">
        <f aca="false">IF(D176="","",IFERROR(INDEX(Pacientes!$Q:$Q,MATCH(D176,Pacientes!$A:$A,0))&amp;"","ID no existe"))</f>
        <v/>
      </c>
      <c r="F176" s="14" t="str">
        <f aca="false">IF(D176="","",IFERROR(INDEX(Pacientes!$D:$D,MATCH(D176,Pacientes!$A:$A,0))&amp;"","ID no existe"))</f>
        <v/>
      </c>
      <c r="G176" s="14" t="str">
        <f aca="false">IF(D176="","",IFERROR(INDEX(Pacientes!$E:$E,MATCH(D176,Pacientes!$A:$A,0))&amp;"","ID no existe"))</f>
        <v/>
      </c>
      <c r="H176" s="9"/>
      <c r="I176" s="6"/>
      <c r="J176" s="6"/>
      <c r="K176" s="6"/>
      <c r="L176" s="7"/>
      <c r="M176" s="7"/>
      <c r="N176" s="6"/>
      <c r="O176" s="6"/>
    </row>
    <row r="177" customFormat="false" ht="15" hidden="false" customHeight="false" outlineLevel="0" collapsed="false">
      <c r="A177" s="6"/>
      <c r="B177" s="10"/>
      <c r="C177" s="16" t="str">
        <f aca="false">IF(B177="","",DATE(YEAR(B177),MONTH(B177),1))</f>
        <v/>
      </c>
      <c r="D177" s="6"/>
      <c r="E177" s="14" t="str">
        <f aca="false">IF(D177="","",IFERROR(INDEX(Pacientes!$Q:$Q,MATCH(D177,Pacientes!$A:$A,0))&amp;"","ID no existe"))</f>
        <v/>
      </c>
      <c r="F177" s="14" t="str">
        <f aca="false">IF(D177="","",IFERROR(INDEX(Pacientes!$D:$D,MATCH(D177,Pacientes!$A:$A,0))&amp;"","ID no existe"))</f>
        <v/>
      </c>
      <c r="G177" s="14" t="str">
        <f aca="false">IF(D177="","",IFERROR(INDEX(Pacientes!$E:$E,MATCH(D177,Pacientes!$A:$A,0))&amp;"","ID no existe"))</f>
        <v/>
      </c>
      <c r="H177" s="9"/>
      <c r="I177" s="6"/>
      <c r="J177" s="6"/>
      <c r="K177" s="6"/>
      <c r="L177" s="7"/>
      <c r="M177" s="7"/>
      <c r="N177" s="6"/>
      <c r="O177" s="6"/>
    </row>
    <row r="178" customFormat="false" ht="15" hidden="false" customHeight="false" outlineLevel="0" collapsed="false">
      <c r="A178" s="6"/>
      <c r="B178" s="10"/>
      <c r="C178" s="16" t="str">
        <f aca="false">IF(B178="","",DATE(YEAR(B178),MONTH(B178),1))</f>
        <v/>
      </c>
      <c r="D178" s="6"/>
      <c r="E178" s="14" t="str">
        <f aca="false">IF(D178="","",IFERROR(INDEX(Pacientes!$Q:$Q,MATCH(D178,Pacientes!$A:$A,0))&amp;"","ID no existe"))</f>
        <v/>
      </c>
      <c r="F178" s="14" t="str">
        <f aca="false">IF(D178="","",IFERROR(INDEX(Pacientes!$D:$D,MATCH(D178,Pacientes!$A:$A,0))&amp;"","ID no existe"))</f>
        <v/>
      </c>
      <c r="G178" s="14" t="str">
        <f aca="false">IF(D178="","",IFERROR(INDEX(Pacientes!$E:$E,MATCH(D178,Pacientes!$A:$A,0))&amp;"","ID no existe"))</f>
        <v/>
      </c>
      <c r="H178" s="9"/>
      <c r="I178" s="6"/>
      <c r="J178" s="6"/>
      <c r="K178" s="6"/>
      <c r="L178" s="7"/>
      <c r="M178" s="7"/>
      <c r="N178" s="6"/>
      <c r="O178" s="6"/>
    </row>
    <row r="179" customFormat="false" ht="15" hidden="false" customHeight="false" outlineLevel="0" collapsed="false">
      <c r="A179" s="6"/>
      <c r="B179" s="10"/>
      <c r="C179" s="16" t="str">
        <f aca="false">IF(B179="","",DATE(YEAR(B179),MONTH(B179),1))</f>
        <v/>
      </c>
      <c r="D179" s="6"/>
      <c r="E179" s="14" t="str">
        <f aca="false">IF(D179="","",IFERROR(INDEX(Pacientes!$Q:$Q,MATCH(D179,Pacientes!$A:$A,0))&amp;"","ID no existe"))</f>
        <v/>
      </c>
      <c r="F179" s="14" t="str">
        <f aca="false">IF(D179="","",IFERROR(INDEX(Pacientes!$D:$D,MATCH(D179,Pacientes!$A:$A,0))&amp;"","ID no existe"))</f>
        <v/>
      </c>
      <c r="G179" s="14" t="str">
        <f aca="false">IF(D179="","",IFERROR(INDEX(Pacientes!$E:$E,MATCH(D179,Pacientes!$A:$A,0))&amp;"","ID no existe"))</f>
        <v/>
      </c>
      <c r="H179" s="9"/>
      <c r="I179" s="6"/>
      <c r="J179" s="6"/>
      <c r="K179" s="6"/>
      <c r="L179" s="7"/>
      <c r="M179" s="7"/>
      <c r="N179" s="6"/>
      <c r="O179" s="6"/>
    </row>
    <row r="180" customFormat="false" ht="15" hidden="false" customHeight="false" outlineLevel="0" collapsed="false">
      <c r="A180" s="6"/>
      <c r="B180" s="10"/>
      <c r="C180" s="16" t="str">
        <f aca="false">IF(B180="","",DATE(YEAR(B180),MONTH(B180),1))</f>
        <v/>
      </c>
      <c r="D180" s="6"/>
      <c r="E180" s="14" t="str">
        <f aca="false">IF(D180="","",IFERROR(INDEX(Pacientes!$Q:$Q,MATCH(D180,Pacientes!$A:$A,0))&amp;"","ID no existe"))</f>
        <v/>
      </c>
      <c r="F180" s="14" t="str">
        <f aca="false">IF(D180="","",IFERROR(INDEX(Pacientes!$D:$D,MATCH(D180,Pacientes!$A:$A,0))&amp;"","ID no existe"))</f>
        <v/>
      </c>
      <c r="G180" s="14" t="str">
        <f aca="false">IF(D180="","",IFERROR(INDEX(Pacientes!$E:$E,MATCH(D180,Pacientes!$A:$A,0))&amp;"","ID no existe"))</f>
        <v/>
      </c>
      <c r="H180" s="9"/>
      <c r="I180" s="6"/>
      <c r="J180" s="6"/>
      <c r="K180" s="6"/>
      <c r="L180" s="7"/>
      <c r="M180" s="7"/>
      <c r="N180" s="6"/>
      <c r="O180" s="6"/>
    </row>
    <row r="181" customFormat="false" ht="15" hidden="false" customHeight="false" outlineLevel="0" collapsed="false">
      <c r="A181" s="6"/>
      <c r="B181" s="10"/>
      <c r="C181" s="16" t="str">
        <f aca="false">IF(B181="","",DATE(YEAR(B181),MONTH(B181),1))</f>
        <v/>
      </c>
      <c r="D181" s="6"/>
      <c r="E181" s="14" t="str">
        <f aca="false">IF(D181="","",IFERROR(INDEX(Pacientes!$Q:$Q,MATCH(D181,Pacientes!$A:$A,0))&amp;"","ID no existe"))</f>
        <v/>
      </c>
      <c r="F181" s="14" t="str">
        <f aca="false">IF(D181="","",IFERROR(INDEX(Pacientes!$D:$D,MATCH(D181,Pacientes!$A:$A,0))&amp;"","ID no existe"))</f>
        <v/>
      </c>
      <c r="G181" s="14" t="str">
        <f aca="false">IF(D181="","",IFERROR(INDEX(Pacientes!$E:$E,MATCH(D181,Pacientes!$A:$A,0))&amp;"","ID no existe"))</f>
        <v/>
      </c>
      <c r="H181" s="9"/>
      <c r="I181" s="6"/>
      <c r="J181" s="6"/>
      <c r="K181" s="6"/>
      <c r="L181" s="7"/>
      <c r="M181" s="7"/>
      <c r="N181" s="6"/>
      <c r="O181" s="6"/>
    </row>
    <row r="182" customFormat="false" ht="15" hidden="false" customHeight="false" outlineLevel="0" collapsed="false">
      <c r="A182" s="6"/>
      <c r="B182" s="10"/>
      <c r="C182" s="16" t="str">
        <f aca="false">IF(B182="","",DATE(YEAR(B182),MONTH(B182),1))</f>
        <v/>
      </c>
      <c r="D182" s="6"/>
      <c r="E182" s="14" t="str">
        <f aca="false">IF(D182="","",IFERROR(INDEX(Pacientes!$Q:$Q,MATCH(D182,Pacientes!$A:$A,0))&amp;"","ID no existe"))</f>
        <v/>
      </c>
      <c r="F182" s="14" t="str">
        <f aca="false">IF(D182="","",IFERROR(INDEX(Pacientes!$D:$D,MATCH(D182,Pacientes!$A:$A,0))&amp;"","ID no existe"))</f>
        <v/>
      </c>
      <c r="G182" s="14" t="str">
        <f aca="false">IF(D182="","",IFERROR(INDEX(Pacientes!$E:$E,MATCH(D182,Pacientes!$A:$A,0))&amp;"","ID no existe"))</f>
        <v/>
      </c>
      <c r="H182" s="9"/>
      <c r="I182" s="6"/>
      <c r="J182" s="6"/>
      <c r="K182" s="6"/>
      <c r="L182" s="7"/>
      <c r="M182" s="7"/>
      <c r="N182" s="6"/>
      <c r="O182" s="6"/>
    </row>
    <row r="183" customFormat="false" ht="15" hidden="false" customHeight="false" outlineLevel="0" collapsed="false">
      <c r="A183" s="6"/>
      <c r="B183" s="10"/>
      <c r="C183" s="16" t="str">
        <f aca="false">IF(B183="","",DATE(YEAR(B183),MONTH(B183),1))</f>
        <v/>
      </c>
      <c r="D183" s="6"/>
      <c r="E183" s="14" t="str">
        <f aca="false">IF(D183="","",IFERROR(INDEX(Pacientes!$Q:$Q,MATCH(D183,Pacientes!$A:$A,0))&amp;"","ID no existe"))</f>
        <v/>
      </c>
      <c r="F183" s="14" t="str">
        <f aca="false">IF(D183="","",IFERROR(INDEX(Pacientes!$D:$D,MATCH(D183,Pacientes!$A:$A,0))&amp;"","ID no existe"))</f>
        <v/>
      </c>
      <c r="G183" s="14" t="str">
        <f aca="false">IF(D183="","",IFERROR(INDEX(Pacientes!$E:$E,MATCH(D183,Pacientes!$A:$A,0))&amp;"","ID no existe"))</f>
        <v/>
      </c>
      <c r="H183" s="9"/>
      <c r="I183" s="6"/>
      <c r="J183" s="6"/>
      <c r="K183" s="6"/>
      <c r="L183" s="7"/>
      <c r="M183" s="7"/>
      <c r="N183" s="6"/>
      <c r="O183" s="6"/>
    </row>
    <row r="184" customFormat="false" ht="15" hidden="false" customHeight="false" outlineLevel="0" collapsed="false">
      <c r="A184" s="6"/>
      <c r="B184" s="10"/>
      <c r="C184" s="16" t="str">
        <f aca="false">IF(B184="","",DATE(YEAR(B184),MONTH(B184),1))</f>
        <v/>
      </c>
      <c r="D184" s="6"/>
      <c r="E184" s="14" t="str">
        <f aca="false">IF(D184="","",IFERROR(INDEX(Pacientes!$Q:$Q,MATCH(D184,Pacientes!$A:$A,0))&amp;"","ID no existe"))</f>
        <v/>
      </c>
      <c r="F184" s="14" t="str">
        <f aca="false">IF(D184="","",IFERROR(INDEX(Pacientes!$D:$D,MATCH(D184,Pacientes!$A:$A,0))&amp;"","ID no existe"))</f>
        <v/>
      </c>
      <c r="G184" s="14" t="str">
        <f aca="false">IF(D184="","",IFERROR(INDEX(Pacientes!$E:$E,MATCH(D184,Pacientes!$A:$A,0))&amp;"","ID no existe"))</f>
        <v/>
      </c>
      <c r="H184" s="9"/>
      <c r="I184" s="6"/>
      <c r="J184" s="6"/>
      <c r="K184" s="6"/>
      <c r="L184" s="7"/>
      <c r="M184" s="7"/>
      <c r="N184" s="6"/>
      <c r="O184" s="6"/>
    </row>
    <row r="185" customFormat="false" ht="15" hidden="false" customHeight="false" outlineLevel="0" collapsed="false">
      <c r="A185" s="6"/>
      <c r="B185" s="10"/>
      <c r="C185" s="16" t="str">
        <f aca="false">IF(B185="","",DATE(YEAR(B185),MONTH(B185),1))</f>
        <v/>
      </c>
      <c r="D185" s="6"/>
      <c r="E185" s="14" t="str">
        <f aca="false">IF(D185="","",IFERROR(INDEX(Pacientes!$Q:$Q,MATCH(D185,Pacientes!$A:$A,0))&amp;"","ID no existe"))</f>
        <v/>
      </c>
      <c r="F185" s="14" t="str">
        <f aca="false">IF(D185="","",IFERROR(INDEX(Pacientes!$D:$D,MATCH(D185,Pacientes!$A:$A,0))&amp;"","ID no existe"))</f>
        <v/>
      </c>
      <c r="G185" s="14" t="str">
        <f aca="false">IF(D185="","",IFERROR(INDEX(Pacientes!$E:$E,MATCH(D185,Pacientes!$A:$A,0))&amp;"","ID no existe"))</f>
        <v/>
      </c>
      <c r="H185" s="9"/>
      <c r="I185" s="6"/>
      <c r="J185" s="6"/>
      <c r="K185" s="6"/>
      <c r="L185" s="7"/>
      <c r="M185" s="7"/>
      <c r="N185" s="6"/>
      <c r="O185" s="6"/>
    </row>
    <row r="186" customFormat="false" ht="15" hidden="false" customHeight="false" outlineLevel="0" collapsed="false">
      <c r="A186" s="6"/>
      <c r="B186" s="10"/>
      <c r="C186" s="16" t="str">
        <f aca="false">IF(B186="","",DATE(YEAR(B186),MONTH(B186),1))</f>
        <v/>
      </c>
      <c r="D186" s="6"/>
      <c r="E186" s="14" t="str">
        <f aca="false">IF(D186="","",IFERROR(INDEX(Pacientes!$Q:$Q,MATCH(D186,Pacientes!$A:$A,0))&amp;"","ID no existe"))</f>
        <v/>
      </c>
      <c r="F186" s="14" t="str">
        <f aca="false">IF(D186="","",IFERROR(INDEX(Pacientes!$D:$D,MATCH(D186,Pacientes!$A:$A,0))&amp;"","ID no existe"))</f>
        <v/>
      </c>
      <c r="G186" s="14" t="str">
        <f aca="false">IF(D186="","",IFERROR(INDEX(Pacientes!$E:$E,MATCH(D186,Pacientes!$A:$A,0))&amp;"","ID no existe"))</f>
        <v/>
      </c>
      <c r="H186" s="9"/>
      <c r="I186" s="6"/>
      <c r="J186" s="6"/>
      <c r="K186" s="6"/>
      <c r="L186" s="7"/>
      <c r="M186" s="7"/>
      <c r="N186" s="6"/>
      <c r="O186" s="6"/>
    </row>
    <row r="187" customFormat="false" ht="15" hidden="false" customHeight="false" outlineLevel="0" collapsed="false">
      <c r="A187" s="6"/>
      <c r="B187" s="10"/>
      <c r="C187" s="16" t="str">
        <f aca="false">IF(B187="","",DATE(YEAR(B187),MONTH(B187),1))</f>
        <v/>
      </c>
      <c r="D187" s="6"/>
      <c r="E187" s="14" t="str">
        <f aca="false">IF(D187="","",IFERROR(INDEX(Pacientes!$Q:$Q,MATCH(D187,Pacientes!$A:$A,0))&amp;"","ID no existe"))</f>
        <v/>
      </c>
      <c r="F187" s="14" t="str">
        <f aca="false">IF(D187="","",IFERROR(INDEX(Pacientes!$D:$D,MATCH(D187,Pacientes!$A:$A,0))&amp;"","ID no existe"))</f>
        <v/>
      </c>
      <c r="G187" s="14" t="str">
        <f aca="false">IF(D187="","",IFERROR(INDEX(Pacientes!$E:$E,MATCH(D187,Pacientes!$A:$A,0))&amp;"","ID no existe"))</f>
        <v/>
      </c>
      <c r="H187" s="9"/>
      <c r="I187" s="6"/>
      <c r="J187" s="6"/>
      <c r="K187" s="6"/>
      <c r="L187" s="7"/>
      <c r="M187" s="7"/>
      <c r="N187" s="6"/>
      <c r="O187" s="6"/>
    </row>
    <row r="188" customFormat="false" ht="15" hidden="false" customHeight="false" outlineLevel="0" collapsed="false">
      <c r="A188" s="6"/>
      <c r="B188" s="10"/>
      <c r="C188" s="16" t="str">
        <f aca="false">IF(B188="","",DATE(YEAR(B188),MONTH(B188),1))</f>
        <v/>
      </c>
      <c r="D188" s="6"/>
      <c r="E188" s="14" t="str">
        <f aca="false">IF(D188="","",IFERROR(INDEX(Pacientes!$Q:$Q,MATCH(D188,Pacientes!$A:$A,0))&amp;"","ID no existe"))</f>
        <v/>
      </c>
      <c r="F188" s="14" t="str">
        <f aca="false">IF(D188="","",IFERROR(INDEX(Pacientes!$D:$D,MATCH(D188,Pacientes!$A:$A,0))&amp;"","ID no existe"))</f>
        <v/>
      </c>
      <c r="G188" s="14" t="str">
        <f aca="false">IF(D188="","",IFERROR(INDEX(Pacientes!$E:$E,MATCH(D188,Pacientes!$A:$A,0))&amp;"","ID no existe"))</f>
        <v/>
      </c>
      <c r="H188" s="9"/>
      <c r="I188" s="6"/>
      <c r="J188" s="6"/>
      <c r="K188" s="6"/>
      <c r="L188" s="7"/>
      <c r="M188" s="7"/>
      <c r="N188" s="6"/>
      <c r="O188" s="6"/>
    </row>
    <row r="189" customFormat="false" ht="15" hidden="false" customHeight="false" outlineLevel="0" collapsed="false">
      <c r="A189" s="6"/>
      <c r="B189" s="10"/>
      <c r="C189" s="16" t="str">
        <f aca="false">IF(B189="","",DATE(YEAR(B189),MONTH(B189),1))</f>
        <v/>
      </c>
      <c r="D189" s="6"/>
      <c r="E189" s="14" t="str">
        <f aca="false">IF(D189="","",IFERROR(INDEX(Pacientes!$Q:$Q,MATCH(D189,Pacientes!$A:$A,0))&amp;"","ID no existe"))</f>
        <v/>
      </c>
      <c r="F189" s="14" t="str">
        <f aca="false">IF(D189="","",IFERROR(INDEX(Pacientes!$D:$D,MATCH(D189,Pacientes!$A:$A,0))&amp;"","ID no existe"))</f>
        <v/>
      </c>
      <c r="G189" s="14" t="str">
        <f aca="false">IF(D189="","",IFERROR(INDEX(Pacientes!$E:$E,MATCH(D189,Pacientes!$A:$A,0))&amp;"","ID no existe"))</f>
        <v/>
      </c>
      <c r="H189" s="9"/>
      <c r="I189" s="6"/>
      <c r="J189" s="6"/>
      <c r="K189" s="6"/>
      <c r="L189" s="7"/>
      <c r="M189" s="7"/>
      <c r="N189" s="6"/>
      <c r="O189" s="6"/>
    </row>
    <row r="190" customFormat="false" ht="15" hidden="false" customHeight="false" outlineLevel="0" collapsed="false">
      <c r="A190" s="6"/>
      <c r="B190" s="10"/>
      <c r="C190" s="16" t="str">
        <f aca="false">IF(B190="","",DATE(YEAR(B190),MONTH(B190),1))</f>
        <v/>
      </c>
      <c r="D190" s="6"/>
      <c r="E190" s="14" t="str">
        <f aca="false">IF(D190="","",IFERROR(INDEX(Pacientes!$Q:$Q,MATCH(D190,Pacientes!$A:$A,0))&amp;"","ID no existe"))</f>
        <v/>
      </c>
      <c r="F190" s="14" t="str">
        <f aca="false">IF(D190="","",IFERROR(INDEX(Pacientes!$D:$D,MATCH(D190,Pacientes!$A:$A,0))&amp;"","ID no existe"))</f>
        <v/>
      </c>
      <c r="G190" s="14" t="str">
        <f aca="false">IF(D190="","",IFERROR(INDEX(Pacientes!$E:$E,MATCH(D190,Pacientes!$A:$A,0))&amp;"","ID no existe"))</f>
        <v/>
      </c>
      <c r="H190" s="9"/>
      <c r="I190" s="6"/>
      <c r="J190" s="6"/>
      <c r="K190" s="6"/>
      <c r="L190" s="7"/>
      <c r="M190" s="7"/>
      <c r="N190" s="6"/>
      <c r="O190" s="6"/>
    </row>
    <row r="191" customFormat="false" ht="15" hidden="false" customHeight="false" outlineLevel="0" collapsed="false">
      <c r="A191" s="6"/>
      <c r="B191" s="10"/>
      <c r="C191" s="16" t="str">
        <f aca="false">IF(B191="","",DATE(YEAR(B191),MONTH(B191),1))</f>
        <v/>
      </c>
      <c r="D191" s="6"/>
      <c r="E191" s="14" t="str">
        <f aca="false">IF(D191="","",IFERROR(INDEX(Pacientes!$Q:$Q,MATCH(D191,Pacientes!$A:$A,0))&amp;"","ID no existe"))</f>
        <v/>
      </c>
      <c r="F191" s="14" t="str">
        <f aca="false">IF(D191="","",IFERROR(INDEX(Pacientes!$D:$D,MATCH(D191,Pacientes!$A:$A,0))&amp;"","ID no existe"))</f>
        <v/>
      </c>
      <c r="G191" s="14" t="str">
        <f aca="false">IF(D191="","",IFERROR(INDEX(Pacientes!$E:$E,MATCH(D191,Pacientes!$A:$A,0))&amp;"","ID no existe"))</f>
        <v/>
      </c>
      <c r="H191" s="9"/>
      <c r="I191" s="6"/>
      <c r="J191" s="6"/>
      <c r="K191" s="6"/>
      <c r="L191" s="7"/>
      <c r="M191" s="7"/>
      <c r="N191" s="6"/>
      <c r="O191" s="6"/>
    </row>
    <row r="192" customFormat="false" ht="15" hidden="false" customHeight="false" outlineLevel="0" collapsed="false">
      <c r="A192" s="6"/>
      <c r="B192" s="10"/>
      <c r="C192" s="16" t="str">
        <f aca="false">IF(B192="","",DATE(YEAR(B192),MONTH(B192),1))</f>
        <v/>
      </c>
      <c r="D192" s="6"/>
      <c r="E192" s="14" t="str">
        <f aca="false">IF(D192="","",IFERROR(INDEX(Pacientes!$Q:$Q,MATCH(D192,Pacientes!$A:$A,0))&amp;"","ID no existe"))</f>
        <v/>
      </c>
      <c r="F192" s="14" t="str">
        <f aca="false">IF(D192="","",IFERROR(INDEX(Pacientes!$D:$D,MATCH(D192,Pacientes!$A:$A,0))&amp;"","ID no existe"))</f>
        <v/>
      </c>
      <c r="G192" s="14" t="str">
        <f aca="false">IF(D192="","",IFERROR(INDEX(Pacientes!$E:$E,MATCH(D192,Pacientes!$A:$A,0))&amp;"","ID no existe"))</f>
        <v/>
      </c>
      <c r="H192" s="9"/>
      <c r="I192" s="6"/>
      <c r="J192" s="6"/>
      <c r="K192" s="6"/>
      <c r="L192" s="7"/>
      <c r="M192" s="7"/>
      <c r="N192" s="6"/>
      <c r="O192" s="6"/>
    </row>
    <row r="193" customFormat="false" ht="15" hidden="false" customHeight="false" outlineLevel="0" collapsed="false">
      <c r="A193" s="6"/>
      <c r="B193" s="10"/>
      <c r="C193" s="16" t="str">
        <f aca="false">IF(B193="","",DATE(YEAR(B193),MONTH(B193),1))</f>
        <v/>
      </c>
      <c r="D193" s="6"/>
      <c r="E193" s="14" t="str">
        <f aca="false">IF(D193="","",IFERROR(INDEX(Pacientes!$Q:$Q,MATCH(D193,Pacientes!$A:$A,0))&amp;"","ID no existe"))</f>
        <v/>
      </c>
      <c r="F193" s="14" t="str">
        <f aca="false">IF(D193="","",IFERROR(INDEX(Pacientes!$D:$D,MATCH(D193,Pacientes!$A:$A,0))&amp;"","ID no existe"))</f>
        <v/>
      </c>
      <c r="G193" s="14" t="str">
        <f aca="false">IF(D193="","",IFERROR(INDEX(Pacientes!$E:$E,MATCH(D193,Pacientes!$A:$A,0))&amp;"","ID no existe"))</f>
        <v/>
      </c>
      <c r="H193" s="9"/>
      <c r="I193" s="6"/>
      <c r="J193" s="6"/>
      <c r="K193" s="6"/>
      <c r="L193" s="7"/>
      <c r="M193" s="7"/>
      <c r="N193" s="6"/>
      <c r="O193" s="6"/>
    </row>
    <row r="194" customFormat="false" ht="15" hidden="false" customHeight="false" outlineLevel="0" collapsed="false">
      <c r="A194" s="6"/>
      <c r="B194" s="10"/>
      <c r="C194" s="16" t="str">
        <f aca="false">IF(B194="","",DATE(YEAR(B194),MONTH(B194),1))</f>
        <v/>
      </c>
      <c r="D194" s="6"/>
      <c r="E194" s="14" t="str">
        <f aca="false">IF(D194="","",IFERROR(INDEX(Pacientes!$Q:$Q,MATCH(D194,Pacientes!$A:$A,0))&amp;"","ID no existe"))</f>
        <v/>
      </c>
      <c r="F194" s="14" t="str">
        <f aca="false">IF(D194="","",IFERROR(INDEX(Pacientes!$D:$D,MATCH(D194,Pacientes!$A:$A,0))&amp;"","ID no existe"))</f>
        <v/>
      </c>
      <c r="G194" s="14" t="str">
        <f aca="false">IF(D194="","",IFERROR(INDEX(Pacientes!$E:$E,MATCH(D194,Pacientes!$A:$A,0))&amp;"","ID no existe"))</f>
        <v/>
      </c>
      <c r="H194" s="9"/>
      <c r="I194" s="6"/>
      <c r="J194" s="6"/>
      <c r="K194" s="6"/>
      <c r="L194" s="7"/>
      <c r="M194" s="7"/>
      <c r="N194" s="6"/>
      <c r="O194" s="6"/>
    </row>
    <row r="195" customFormat="false" ht="15" hidden="false" customHeight="false" outlineLevel="0" collapsed="false">
      <c r="A195" s="6"/>
      <c r="B195" s="10"/>
      <c r="C195" s="16" t="str">
        <f aca="false">IF(B195="","",DATE(YEAR(B195),MONTH(B195),1))</f>
        <v/>
      </c>
      <c r="D195" s="6"/>
      <c r="E195" s="14" t="str">
        <f aca="false">IF(D195="","",IFERROR(INDEX(Pacientes!$Q:$Q,MATCH(D195,Pacientes!$A:$A,0))&amp;"","ID no existe"))</f>
        <v/>
      </c>
      <c r="F195" s="14" t="str">
        <f aca="false">IF(D195="","",IFERROR(INDEX(Pacientes!$D:$D,MATCH(D195,Pacientes!$A:$A,0))&amp;"","ID no existe"))</f>
        <v/>
      </c>
      <c r="G195" s="14" t="str">
        <f aca="false">IF(D195="","",IFERROR(INDEX(Pacientes!$E:$E,MATCH(D195,Pacientes!$A:$A,0))&amp;"","ID no existe"))</f>
        <v/>
      </c>
      <c r="H195" s="9"/>
      <c r="I195" s="6"/>
      <c r="J195" s="6"/>
      <c r="K195" s="6"/>
      <c r="L195" s="7"/>
      <c r="M195" s="7"/>
      <c r="N195" s="6"/>
      <c r="O195" s="6"/>
    </row>
    <row r="196" customFormat="false" ht="15" hidden="false" customHeight="false" outlineLevel="0" collapsed="false">
      <c r="A196" s="6"/>
      <c r="B196" s="10"/>
      <c r="C196" s="16" t="str">
        <f aca="false">IF(B196="","",DATE(YEAR(B196),MONTH(B196),1))</f>
        <v/>
      </c>
      <c r="D196" s="6"/>
      <c r="E196" s="14" t="str">
        <f aca="false">IF(D196="","",IFERROR(INDEX(Pacientes!$Q:$Q,MATCH(D196,Pacientes!$A:$A,0))&amp;"","ID no existe"))</f>
        <v/>
      </c>
      <c r="F196" s="14" t="str">
        <f aca="false">IF(D196="","",IFERROR(INDEX(Pacientes!$D:$D,MATCH(D196,Pacientes!$A:$A,0))&amp;"","ID no existe"))</f>
        <v/>
      </c>
      <c r="G196" s="14" t="str">
        <f aca="false">IF(D196="","",IFERROR(INDEX(Pacientes!$E:$E,MATCH(D196,Pacientes!$A:$A,0))&amp;"","ID no existe"))</f>
        <v/>
      </c>
      <c r="H196" s="9"/>
      <c r="I196" s="6"/>
      <c r="J196" s="6"/>
      <c r="K196" s="6"/>
      <c r="L196" s="7"/>
      <c r="M196" s="7"/>
      <c r="N196" s="6"/>
      <c r="O196" s="6"/>
    </row>
    <row r="197" customFormat="false" ht="15" hidden="false" customHeight="false" outlineLevel="0" collapsed="false">
      <c r="A197" s="6"/>
      <c r="B197" s="10"/>
      <c r="C197" s="16" t="str">
        <f aca="false">IF(B197="","",DATE(YEAR(B197),MONTH(B197),1))</f>
        <v/>
      </c>
      <c r="D197" s="6"/>
      <c r="E197" s="14" t="str">
        <f aca="false">IF(D197="","",IFERROR(INDEX(Pacientes!$Q:$Q,MATCH(D197,Pacientes!$A:$A,0))&amp;"","ID no existe"))</f>
        <v/>
      </c>
      <c r="F197" s="14" t="str">
        <f aca="false">IF(D197="","",IFERROR(INDEX(Pacientes!$D:$D,MATCH(D197,Pacientes!$A:$A,0))&amp;"","ID no existe"))</f>
        <v/>
      </c>
      <c r="G197" s="14" t="str">
        <f aca="false">IF(D197="","",IFERROR(INDEX(Pacientes!$E:$E,MATCH(D197,Pacientes!$A:$A,0))&amp;"","ID no existe"))</f>
        <v/>
      </c>
      <c r="H197" s="9"/>
      <c r="I197" s="6"/>
      <c r="J197" s="6"/>
      <c r="K197" s="6"/>
      <c r="L197" s="7"/>
      <c r="M197" s="7"/>
      <c r="N197" s="6"/>
      <c r="O197" s="6"/>
    </row>
    <row r="198" customFormat="false" ht="15" hidden="false" customHeight="false" outlineLevel="0" collapsed="false">
      <c r="A198" s="6"/>
      <c r="B198" s="10"/>
      <c r="C198" s="16" t="str">
        <f aca="false">IF(B198="","",DATE(YEAR(B198),MONTH(B198),1))</f>
        <v/>
      </c>
      <c r="D198" s="6"/>
      <c r="E198" s="14" t="str">
        <f aca="false">IF(D198="","",IFERROR(INDEX(Pacientes!$Q:$Q,MATCH(D198,Pacientes!$A:$A,0))&amp;"","ID no existe"))</f>
        <v/>
      </c>
      <c r="F198" s="14" t="str">
        <f aca="false">IF(D198="","",IFERROR(INDEX(Pacientes!$D:$D,MATCH(D198,Pacientes!$A:$A,0))&amp;"","ID no existe"))</f>
        <v/>
      </c>
      <c r="G198" s="14" t="str">
        <f aca="false">IF(D198="","",IFERROR(INDEX(Pacientes!$E:$E,MATCH(D198,Pacientes!$A:$A,0))&amp;"","ID no existe"))</f>
        <v/>
      </c>
      <c r="H198" s="9"/>
      <c r="I198" s="6"/>
      <c r="J198" s="6"/>
      <c r="K198" s="6"/>
      <c r="L198" s="7"/>
      <c r="M198" s="7"/>
      <c r="N198" s="6"/>
      <c r="O198" s="6"/>
    </row>
    <row r="199" customFormat="false" ht="15" hidden="false" customHeight="false" outlineLevel="0" collapsed="false">
      <c r="A199" s="6"/>
      <c r="B199" s="10"/>
      <c r="C199" s="16" t="str">
        <f aca="false">IF(B199="","",DATE(YEAR(B199),MONTH(B199),1))</f>
        <v/>
      </c>
      <c r="D199" s="6"/>
      <c r="E199" s="14" t="str">
        <f aca="false">IF(D199="","",IFERROR(INDEX(Pacientes!$Q:$Q,MATCH(D199,Pacientes!$A:$A,0))&amp;"","ID no existe"))</f>
        <v/>
      </c>
      <c r="F199" s="14" t="str">
        <f aca="false">IF(D199="","",IFERROR(INDEX(Pacientes!$D:$D,MATCH(D199,Pacientes!$A:$A,0))&amp;"","ID no existe"))</f>
        <v/>
      </c>
      <c r="G199" s="14" t="str">
        <f aca="false">IF(D199="","",IFERROR(INDEX(Pacientes!$E:$E,MATCH(D199,Pacientes!$A:$A,0))&amp;"","ID no existe"))</f>
        <v/>
      </c>
      <c r="H199" s="9"/>
      <c r="I199" s="6"/>
      <c r="J199" s="6"/>
      <c r="K199" s="6"/>
      <c r="L199" s="7"/>
      <c r="M199" s="7"/>
      <c r="N199" s="6"/>
      <c r="O199" s="6"/>
    </row>
    <row r="200" customFormat="false" ht="15" hidden="false" customHeight="false" outlineLevel="0" collapsed="false">
      <c r="A200" s="6"/>
      <c r="B200" s="10"/>
      <c r="C200" s="16" t="str">
        <f aca="false">IF(B200="","",DATE(YEAR(B200),MONTH(B200),1))</f>
        <v/>
      </c>
      <c r="D200" s="6"/>
      <c r="E200" s="14" t="str">
        <f aca="false">IF(D200="","",IFERROR(INDEX(Pacientes!$Q:$Q,MATCH(D200,Pacientes!$A:$A,0))&amp;"","ID no existe"))</f>
        <v/>
      </c>
      <c r="F200" s="14" t="str">
        <f aca="false">IF(D200="","",IFERROR(INDEX(Pacientes!$D:$D,MATCH(D200,Pacientes!$A:$A,0))&amp;"","ID no existe"))</f>
        <v/>
      </c>
      <c r="G200" s="14" t="str">
        <f aca="false">IF(D200="","",IFERROR(INDEX(Pacientes!$E:$E,MATCH(D200,Pacientes!$A:$A,0))&amp;"","ID no existe"))</f>
        <v/>
      </c>
      <c r="H200" s="9"/>
      <c r="I200" s="6"/>
      <c r="J200" s="6"/>
      <c r="K200" s="6"/>
      <c r="L200" s="7"/>
      <c r="M200" s="7"/>
      <c r="N200" s="6"/>
      <c r="O200" s="6"/>
    </row>
    <row r="201" customFormat="false" ht="15" hidden="false" customHeight="false" outlineLevel="0" collapsed="false">
      <c r="A201" s="6"/>
      <c r="B201" s="10"/>
      <c r="C201" s="16" t="str">
        <f aca="false">IF(B201="","",DATE(YEAR(B201),MONTH(B201),1))</f>
        <v/>
      </c>
      <c r="D201" s="6"/>
      <c r="E201" s="14" t="str">
        <f aca="false">IF(D201="","",IFERROR(INDEX(Pacientes!$Q:$Q,MATCH(D201,Pacientes!$A:$A,0))&amp;"","ID no existe"))</f>
        <v/>
      </c>
      <c r="F201" s="14" t="str">
        <f aca="false">IF(D201="","",IFERROR(INDEX(Pacientes!$D:$D,MATCH(D201,Pacientes!$A:$A,0))&amp;"","ID no existe"))</f>
        <v/>
      </c>
      <c r="G201" s="14" t="str">
        <f aca="false">IF(D201="","",IFERROR(INDEX(Pacientes!$E:$E,MATCH(D201,Pacientes!$A:$A,0))&amp;"","ID no existe"))</f>
        <v/>
      </c>
      <c r="H201" s="9"/>
      <c r="I201" s="6"/>
      <c r="J201" s="6"/>
      <c r="K201" s="6"/>
      <c r="L201" s="7"/>
      <c r="M201" s="7"/>
      <c r="N201" s="6"/>
      <c r="O201" s="6"/>
    </row>
    <row r="202" customFormat="false" ht="15" hidden="false" customHeight="false" outlineLevel="0" collapsed="false">
      <c r="A202" s="6"/>
      <c r="B202" s="10"/>
      <c r="C202" s="16" t="str">
        <f aca="false">IF(B202="","",DATE(YEAR(B202),MONTH(B202),1))</f>
        <v/>
      </c>
      <c r="D202" s="6"/>
      <c r="E202" s="14" t="str">
        <f aca="false">IF(D202="","",IFERROR(INDEX(Pacientes!$Q:$Q,MATCH(D202,Pacientes!$A:$A,0))&amp;"","ID no existe"))</f>
        <v/>
      </c>
      <c r="F202" s="14" t="str">
        <f aca="false">IF(D202="","",IFERROR(INDEX(Pacientes!$D:$D,MATCH(D202,Pacientes!$A:$A,0))&amp;"","ID no existe"))</f>
        <v/>
      </c>
      <c r="G202" s="14" t="str">
        <f aca="false">IF(D202="","",IFERROR(INDEX(Pacientes!$E:$E,MATCH(D202,Pacientes!$A:$A,0))&amp;"","ID no existe"))</f>
        <v/>
      </c>
      <c r="H202" s="9"/>
      <c r="I202" s="6"/>
      <c r="J202" s="6"/>
      <c r="K202" s="6"/>
      <c r="L202" s="7"/>
      <c r="M202" s="7"/>
      <c r="N202" s="6"/>
      <c r="O202" s="6"/>
    </row>
    <row r="203" customFormat="false" ht="15" hidden="false" customHeight="false" outlineLevel="0" collapsed="false">
      <c r="A203" s="6"/>
      <c r="B203" s="10"/>
      <c r="C203" s="16" t="str">
        <f aca="false">IF(B203="","",DATE(YEAR(B203),MONTH(B203),1))</f>
        <v/>
      </c>
      <c r="D203" s="6"/>
      <c r="E203" s="14" t="str">
        <f aca="false">IF(D203="","",IFERROR(INDEX(Pacientes!$Q:$Q,MATCH(D203,Pacientes!$A:$A,0))&amp;"","ID no existe"))</f>
        <v/>
      </c>
      <c r="F203" s="14" t="str">
        <f aca="false">IF(D203="","",IFERROR(INDEX(Pacientes!$D:$D,MATCH(D203,Pacientes!$A:$A,0))&amp;"","ID no existe"))</f>
        <v/>
      </c>
      <c r="G203" s="14" t="str">
        <f aca="false">IF(D203="","",IFERROR(INDEX(Pacientes!$E:$E,MATCH(D203,Pacientes!$A:$A,0))&amp;"","ID no existe"))</f>
        <v/>
      </c>
      <c r="H203" s="9"/>
      <c r="I203" s="6"/>
      <c r="J203" s="6"/>
      <c r="K203" s="6"/>
      <c r="L203" s="7"/>
      <c r="M203" s="7"/>
      <c r="N203" s="6"/>
      <c r="O203" s="6"/>
    </row>
    <row r="204" customFormat="false" ht="15" hidden="false" customHeight="false" outlineLevel="0" collapsed="false">
      <c r="A204" s="6"/>
      <c r="B204" s="10"/>
      <c r="C204" s="16" t="str">
        <f aca="false">IF(B204="","",DATE(YEAR(B204),MONTH(B204),1))</f>
        <v/>
      </c>
      <c r="D204" s="6"/>
      <c r="E204" s="14" t="str">
        <f aca="false">IF(D204="","",IFERROR(INDEX(Pacientes!$Q:$Q,MATCH(D204,Pacientes!$A:$A,0))&amp;"","ID no existe"))</f>
        <v/>
      </c>
      <c r="F204" s="14" t="str">
        <f aca="false">IF(D204="","",IFERROR(INDEX(Pacientes!$D:$D,MATCH(D204,Pacientes!$A:$A,0))&amp;"","ID no existe"))</f>
        <v/>
      </c>
      <c r="G204" s="14" t="str">
        <f aca="false">IF(D204="","",IFERROR(INDEX(Pacientes!$E:$E,MATCH(D204,Pacientes!$A:$A,0))&amp;"","ID no existe"))</f>
        <v/>
      </c>
      <c r="H204" s="9"/>
      <c r="I204" s="6"/>
      <c r="J204" s="6"/>
      <c r="K204" s="6"/>
      <c r="L204" s="7"/>
      <c r="M204" s="7"/>
      <c r="N204" s="6"/>
      <c r="O204" s="6"/>
    </row>
    <row r="205" customFormat="false" ht="15" hidden="false" customHeight="false" outlineLevel="0" collapsed="false">
      <c r="A205" s="6"/>
      <c r="B205" s="10"/>
      <c r="C205" s="16" t="str">
        <f aca="false">IF(B205="","",DATE(YEAR(B205),MONTH(B205),1))</f>
        <v/>
      </c>
      <c r="D205" s="6"/>
      <c r="E205" s="14" t="str">
        <f aca="false">IF(D205="","",IFERROR(INDEX(Pacientes!$Q:$Q,MATCH(D205,Pacientes!$A:$A,0))&amp;"","ID no existe"))</f>
        <v/>
      </c>
      <c r="F205" s="14" t="str">
        <f aca="false">IF(D205="","",IFERROR(INDEX(Pacientes!$D:$D,MATCH(D205,Pacientes!$A:$A,0))&amp;"","ID no existe"))</f>
        <v/>
      </c>
      <c r="G205" s="14" t="str">
        <f aca="false">IF(D205="","",IFERROR(INDEX(Pacientes!$E:$E,MATCH(D205,Pacientes!$A:$A,0))&amp;"","ID no existe"))</f>
        <v/>
      </c>
      <c r="H205" s="9"/>
      <c r="I205" s="6"/>
      <c r="J205" s="6"/>
      <c r="K205" s="6"/>
      <c r="L205" s="7"/>
      <c r="M205" s="7"/>
      <c r="N205" s="6"/>
      <c r="O205" s="6"/>
    </row>
    <row r="206" customFormat="false" ht="15" hidden="false" customHeight="false" outlineLevel="0" collapsed="false">
      <c r="A206" s="6"/>
      <c r="B206" s="10"/>
      <c r="C206" s="16" t="str">
        <f aca="false">IF(B206="","",DATE(YEAR(B206),MONTH(B206),1))</f>
        <v/>
      </c>
      <c r="D206" s="6"/>
      <c r="E206" s="14" t="str">
        <f aca="false">IF(D206="","",IFERROR(INDEX(Pacientes!$Q:$Q,MATCH(D206,Pacientes!$A:$A,0))&amp;"","ID no existe"))</f>
        <v/>
      </c>
      <c r="F206" s="14" t="str">
        <f aca="false">IF(D206="","",IFERROR(INDEX(Pacientes!$D:$D,MATCH(D206,Pacientes!$A:$A,0))&amp;"","ID no existe"))</f>
        <v/>
      </c>
      <c r="G206" s="14" t="str">
        <f aca="false">IF(D206="","",IFERROR(INDEX(Pacientes!$E:$E,MATCH(D206,Pacientes!$A:$A,0))&amp;"","ID no existe"))</f>
        <v/>
      </c>
      <c r="H206" s="9"/>
      <c r="I206" s="6"/>
      <c r="J206" s="6"/>
      <c r="K206" s="6"/>
      <c r="L206" s="7"/>
      <c r="M206" s="7"/>
      <c r="N206" s="6"/>
      <c r="O206" s="6"/>
    </row>
    <row r="207" customFormat="false" ht="15" hidden="false" customHeight="false" outlineLevel="0" collapsed="false">
      <c r="A207" s="6"/>
      <c r="B207" s="10"/>
      <c r="C207" s="16" t="str">
        <f aca="false">IF(B207="","",DATE(YEAR(B207),MONTH(B207),1))</f>
        <v/>
      </c>
      <c r="D207" s="6"/>
      <c r="E207" s="14" t="str">
        <f aca="false">IF(D207="","",IFERROR(INDEX(Pacientes!$Q:$Q,MATCH(D207,Pacientes!$A:$A,0))&amp;"","ID no existe"))</f>
        <v/>
      </c>
      <c r="F207" s="14" t="str">
        <f aca="false">IF(D207="","",IFERROR(INDEX(Pacientes!$D:$D,MATCH(D207,Pacientes!$A:$A,0))&amp;"","ID no existe"))</f>
        <v/>
      </c>
      <c r="G207" s="14" t="str">
        <f aca="false">IF(D207="","",IFERROR(INDEX(Pacientes!$E:$E,MATCH(D207,Pacientes!$A:$A,0))&amp;"","ID no existe"))</f>
        <v/>
      </c>
      <c r="H207" s="9"/>
      <c r="I207" s="6"/>
      <c r="J207" s="6"/>
      <c r="K207" s="6"/>
      <c r="L207" s="7"/>
      <c r="M207" s="7"/>
      <c r="N207" s="6"/>
      <c r="O207" s="6"/>
    </row>
    <row r="208" customFormat="false" ht="15" hidden="false" customHeight="false" outlineLevel="0" collapsed="false">
      <c r="A208" s="6"/>
      <c r="B208" s="10"/>
      <c r="C208" s="16" t="str">
        <f aca="false">IF(B208="","",DATE(YEAR(B208),MONTH(B208),1))</f>
        <v/>
      </c>
      <c r="D208" s="6"/>
      <c r="E208" s="14" t="str">
        <f aca="false">IF(D208="","",IFERROR(INDEX(Pacientes!$Q:$Q,MATCH(D208,Pacientes!$A:$A,0))&amp;"","ID no existe"))</f>
        <v/>
      </c>
      <c r="F208" s="14" t="str">
        <f aca="false">IF(D208="","",IFERROR(INDEX(Pacientes!$D:$D,MATCH(D208,Pacientes!$A:$A,0))&amp;"","ID no existe"))</f>
        <v/>
      </c>
      <c r="G208" s="14" t="str">
        <f aca="false">IF(D208="","",IFERROR(INDEX(Pacientes!$E:$E,MATCH(D208,Pacientes!$A:$A,0))&amp;"","ID no existe"))</f>
        <v/>
      </c>
      <c r="H208" s="9"/>
      <c r="I208" s="6"/>
      <c r="J208" s="6"/>
      <c r="K208" s="6"/>
      <c r="L208" s="7"/>
      <c r="M208" s="7"/>
      <c r="N208" s="6"/>
      <c r="O208" s="6"/>
    </row>
    <row r="209" customFormat="false" ht="15" hidden="false" customHeight="false" outlineLevel="0" collapsed="false">
      <c r="A209" s="6"/>
      <c r="B209" s="10"/>
      <c r="C209" s="16" t="str">
        <f aca="false">IF(B209="","",DATE(YEAR(B209),MONTH(B209),1))</f>
        <v/>
      </c>
      <c r="D209" s="6"/>
      <c r="E209" s="14" t="str">
        <f aca="false">IF(D209="","",IFERROR(INDEX(Pacientes!$Q:$Q,MATCH(D209,Pacientes!$A:$A,0))&amp;"","ID no existe"))</f>
        <v/>
      </c>
      <c r="F209" s="14" t="str">
        <f aca="false">IF(D209="","",IFERROR(INDEX(Pacientes!$D:$D,MATCH(D209,Pacientes!$A:$A,0))&amp;"","ID no existe"))</f>
        <v/>
      </c>
      <c r="G209" s="14" t="str">
        <f aca="false">IF(D209="","",IFERROR(INDEX(Pacientes!$E:$E,MATCH(D209,Pacientes!$A:$A,0))&amp;"","ID no existe"))</f>
        <v/>
      </c>
      <c r="H209" s="9"/>
      <c r="I209" s="6"/>
      <c r="J209" s="6"/>
      <c r="K209" s="6"/>
      <c r="L209" s="7"/>
      <c r="M209" s="7"/>
      <c r="N209" s="6"/>
      <c r="O209" s="6"/>
    </row>
    <row r="210" customFormat="false" ht="15" hidden="false" customHeight="false" outlineLevel="0" collapsed="false">
      <c r="A210" s="6"/>
      <c r="B210" s="10"/>
      <c r="C210" s="16" t="str">
        <f aca="false">IF(B210="","",DATE(YEAR(B210),MONTH(B210),1))</f>
        <v/>
      </c>
      <c r="D210" s="6"/>
      <c r="E210" s="14" t="str">
        <f aca="false">IF(D210="","",IFERROR(INDEX(Pacientes!$Q:$Q,MATCH(D210,Pacientes!$A:$A,0))&amp;"","ID no existe"))</f>
        <v/>
      </c>
      <c r="F210" s="14" t="str">
        <f aca="false">IF(D210="","",IFERROR(INDEX(Pacientes!$D:$D,MATCH(D210,Pacientes!$A:$A,0))&amp;"","ID no existe"))</f>
        <v/>
      </c>
      <c r="G210" s="14" t="str">
        <f aca="false">IF(D210="","",IFERROR(INDEX(Pacientes!$E:$E,MATCH(D210,Pacientes!$A:$A,0))&amp;"","ID no existe"))</f>
        <v/>
      </c>
      <c r="H210" s="9"/>
      <c r="I210" s="6"/>
      <c r="J210" s="6"/>
      <c r="K210" s="6"/>
      <c r="L210" s="7"/>
      <c r="M210" s="7"/>
      <c r="N210" s="6"/>
      <c r="O210" s="6"/>
    </row>
    <row r="211" customFormat="false" ht="15" hidden="false" customHeight="false" outlineLevel="0" collapsed="false">
      <c r="A211" s="6"/>
      <c r="B211" s="10"/>
      <c r="C211" s="16" t="str">
        <f aca="false">IF(B211="","",DATE(YEAR(B211),MONTH(B211),1))</f>
        <v/>
      </c>
      <c r="D211" s="6"/>
      <c r="E211" s="14" t="str">
        <f aca="false">IF(D211="","",IFERROR(INDEX(Pacientes!$Q:$Q,MATCH(D211,Pacientes!$A:$A,0))&amp;"","ID no existe"))</f>
        <v/>
      </c>
      <c r="F211" s="14" t="str">
        <f aca="false">IF(D211="","",IFERROR(INDEX(Pacientes!$D:$D,MATCH(D211,Pacientes!$A:$A,0))&amp;"","ID no existe"))</f>
        <v/>
      </c>
      <c r="G211" s="14" t="str">
        <f aca="false">IF(D211="","",IFERROR(INDEX(Pacientes!$E:$E,MATCH(D211,Pacientes!$A:$A,0))&amp;"","ID no existe"))</f>
        <v/>
      </c>
      <c r="H211" s="9"/>
      <c r="I211" s="6"/>
      <c r="J211" s="6"/>
      <c r="K211" s="6"/>
      <c r="L211" s="7"/>
      <c r="M211" s="7"/>
      <c r="N211" s="6"/>
      <c r="O211" s="6"/>
    </row>
    <row r="212" customFormat="false" ht="15" hidden="false" customHeight="false" outlineLevel="0" collapsed="false">
      <c r="A212" s="6"/>
      <c r="B212" s="10"/>
      <c r="C212" s="16" t="str">
        <f aca="false">IF(B212="","",DATE(YEAR(B212),MONTH(B212),1))</f>
        <v/>
      </c>
      <c r="D212" s="6"/>
      <c r="E212" s="14" t="str">
        <f aca="false">IF(D212="","",IFERROR(INDEX(Pacientes!$Q:$Q,MATCH(D212,Pacientes!$A:$A,0))&amp;"","ID no existe"))</f>
        <v/>
      </c>
      <c r="F212" s="14" t="str">
        <f aca="false">IF(D212="","",IFERROR(INDEX(Pacientes!$D:$D,MATCH(D212,Pacientes!$A:$A,0))&amp;"","ID no existe"))</f>
        <v/>
      </c>
      <c r="G212" s="14" t="str">
        <f aca="false">IF(D212="","",IFERROR(INDEX(Pacientes!$E:$E,MATCH(D212,Pacientes!$A:$A,0))&amp;"","ID no existe"))</f>
        <v/>
      </c>
      <c r="H212" s="9"/>
      <c r="I212" s="6"/>
      <c r="J212" s="6"/>
      <c r="K212" s="6"/>
      <c r="L212" s="7"/>
      <c r="M212" s="7"/>
      <c r="N212" s="6"/>
      <c r="O212" s="6"/>
    </row>
    <row r="213" customFormat="false" ht="15" hidden="false" customHeight="false" outlineLevel="0" collapsed="false">
      <c r="A213" s="6"/>
      <c r="B213" s="10"/>
      <c r="C213" s="16" t="str">
        <f aca="false">IF(B213="","",DATE(YEAR(B213),MONTH(B213),1))</f>
        <v/>
      </c>
      <c r="D213" s="6"/>
      <c r="E213" s="14" t="str">
        <f aca="false">IF(D213="","",IFERROR(INDEX(Pacientes!$Q:$Q,MATCH(D213,Pacientes!$A:$A,0))&amp;"","ID no existe"))</f>
        <v/>
      </c>
      <c r="F213" s="14" t="str">
        <f aca="false">IF(D213="","",IFERROR(INDEX(Pacientes!$D:$D,MATCH(D213,Pacientes!$A:$A,0))&amp;"","ID no existe"))</f>
        <v/>
      </c>
      <c r="G213" s="14" t="str">
        <f aca="false">IF(D213="","",IFERROR(INDEX(Pacientes!$E:$E,MATCH(D213,Pacientes!$A:$A,0))&amp;"","ID no existe"))</f>
        <v/>
      </c>
      <c r="H213" s="9"/>
      <c r="I213" s="6"/>
      <c r="J213" s="6"/>
      <c r="K213" s="6"/>
      <c r="L213" s="7"/>
      <c r="M213" s="7"/>
      <c r="N213" s="6"/>
      <c r="O213" s="6"/>
    </row>
    <row r="214" customFormat="false" ht="15" hidden="false" customHeight="false" outlineLevel="0" collapsed="false">
      <c r="A214" s="6"/>
      <c r="B214" s="10"/>
      <c r="C214" s="16" t="str">
        <f aca="false">IF(B214="","",DATE(YEAR(B214),MONTH(B214),1))</f>
        <v/>
      </c>
      <c r="D214" s="6"/>
      <c r="E214" s="14" t="str">
        <f aca="false">IF(D214="","",IFERROR(INDEX(Pacientes!$Q:$Q,MATCH(D214,Pacientes!$A:$A,0))&amp;"","ID no existe"))</f>
        <v/>
      </c>
      <c r="F214" s="14" t="str">
        <f aca="false">IF(D214="","",IFERROR(INDEX(Pacientes!$D:$D,MATCH(D214,Pacientes!$A:$A,0))&amp;"","ID no existe"))</f>
        <v/>
      </c>
      <c r="G214" s="14" t="str">
        <f aca="false">IF(D214="","",IFERROR(INDEX(Pacientes!$E:$E,MATCH(D214,Pacientes!$A:$A,0))&amp;"","ID no existe"))</f>
        <v/>
      </c>
      <c r="H214" s="9"/>
      <c r="I214" s="6"/>
      <c r="J214" s="6"/>
      <c r="K214" s="6"/>
      <c r="L214" s="7"/>
      <c r="M214" s="7"/>
      <c r="N214" s="6"/>
      <c r="O214" s="6"/>
    </row>
    <row r="215" customFormat="false" ht="15" hidden="false" customHeight="false" outlineLevel="0" collapsed="false">
      <c r="A215" s="6"/>
      <c r="B215" s="10"/>
      <c r="C215" s="16" t="str">
        <f aca="false">IF(B215="","",DATE(YEAR(B215),MONTH(B215),1))</f>
        <v/>
      </c>
      <c r="D215" s="6"/>
      <c r="E215" s="14" t="str">
        <f aca="false">IF(D215="","",IFERROR(INDEX(Pacientes!$Q:$Q,MATCH(D215,Pacientes!$A:$A,0))&amp;"","ID no existe"))</f>
        <v/>
      </c>
      <c r="F215" s="14" t="str">
        <f aca="false">IF(D215="","",IFERROR(INDEX(Pacientes!$D:$D,MATCH(D215,Pacientes!$A:$A,0))&amp;"","ID no existe"))</f>
        <v/>
      </c>
      <c r="G215" s="14" t="str">
        <f aca="false">IF(D215="","",IFERROR(INDEX(Pacientes!$E:$E,MATCH(D215,Pacientes!$A:$A,0))&amp;"","ID no existe"))</f>
        <v/>
      </c>
      <c r="H215" s="9"/>
      <c r="I215" s="6"/>
      <c r="J215" s="6"/>
      <c r="K215" s="6"/>
      <c r="L215" s="7"/>
      <c r="M215" s="7"/>
      <c r="N215" s="6"/>
      <c r="O215" s="6"/>
    </row>
    <row r="216" customFormat="false" ht="15" hidden="false" customHeight="false" outlineLevel="0" collapsed="false">
      <c r="A216" s="6"/>
      <c r="B216" s="10"/>
      <c r="C216" s="16" t="str">
        <f aca="false">IF(B216="","",DATE(YEAR(B216),MONTH(B216),1))</f>
        <v/>
      </c>
      <c r="D216" s="6"/>
      <c r="E216" s="14" t="str">
        <f aca="false">IF(D216="","",IFERROR(INDEX(Pacientes!$Q:$Q,MATCH(D216,Pacientes!$A:$A,0))&amp;"","ID no existe"))</f>
        <v/>
      </c>
      <c r="F216" s="14" t="str">
        <f aca="false">IF(D216="","",IFERROR(INDEX(Pacientes!$D:$D,MATCH(D216,Pacientes!$A:$A,0))&amp;"","ID no existe"))</f>
        <v/>
      </c>
      <c r="G216" s="14" t="str">
        <f aca="false">IF(D216="","",IFERROR(INDEX(Pacientes!$E:$E,MATCH(D216,Pacientes!$A:$A,0))&amp;"","ID no existe"))</f>
        <v/>
      </c>
      <c r="H216" s="9"/>
      <c r="I216" s="6"/>
      <c r="J216" s="6"/>
      <c r="K216" s="6"/>
      <c r="L216" s="7"/>
      <c r="M216" s="7"/>
      <c r="N216" s="6"/>
      <c r="O216" s="6"/>
    </row>
    <row r="217" customFormat="false" ht="15" hidden="false" customHeight="false" outlineLevel="0" collapsed="false">
      <c r="A217" s="6"/>
      <c r="B217" s="10"/>
      <c r="C217" s="16" t="str">
        <f aca="false">IF(B217="","",DATE(YEAR(B217),MONTH(B217),1))</f>
        <v/>
      </c>
      <c r="D217" s="6"/>
      <c r="E217" s="14" t="str">
        <f aca="false">IF(D217="","",IFERROR(INDEX(Pacientes!$Q:$Q,MATCH(D217,Pacientes!$A:$A,0))&amp;"","ID no existe"))</f>
        <v/>
      </c>
      <c r="F217" s="14" t="str">
        <f aca="false">IF(D217="","",IFERROR(INDEX(Pacientes!$D:$D,MATCH(D217,Pacientes!$A:$A,0))&amp;"","ID no existe"))</f>
        <v/>
      </c>
      <c r="G217" s="14" t="str">
        <f aca="false">IF(D217="","",IFERROR(INDEX(Pacientes!$E:$E,MATCH(D217,Pacientes!$A:$A,0))&amp;"","ID no existe"))</f>
        <v/>
      </c>
      <c r="H217" s="9"/>
      <c r="I217" s="6"/>
      <c r="J217" s="6"/>
      <c r="K217" s="6"/>
      <c r="L217" s="7"/>
      <c r="M217" s="7"/>
      <c r="N217" s="6"/>
      <c r="O217" s="6"/>
    </row>
    <row r="218" customFormat="false" ht="15" hidden="false" customHeight="false" outlineLevel="0" collapsed="false">
      <c r="A218" s="6"/>
      <c r="B218" s="10"/>
      <c r="C218" s="16" t="str">
        <f aca="false">IF(B218="","",DATE(YEAR(B218),MONTH(B218),1))</f>
        <v/>
      </c>
      <c r="D218" s="6"/>
      <c r="E218" s="14" t="str">
        <f aca="false">IF(D218="","",IFERROR(INDEX(Pacientes!$Q:$Q,MATCH(D218,Pacientes!$A:$A,0))&amp;"","ID no existe"))</f>
        <v/>
      </c>
      <c r="F218" s="14" t="str">
        <f aca="false">IF(D218="","",IFERROR(INDEX(Pacientes!$D:$D,MATCH(D218,Pacientes!$A:$A,0))&amp;"","ID no existe"))</f>
        <v/>
      </c>
      <c r="G218" s="14" t="str">
        <f aca="false">IF(D218="","",IFERROR(INDEX(Pacientes!$E:$E,MATCH(D218,Pacientes!$A:$A,0))&amp;"","ID no existe"))</f>
        <v/>
      </c>
      <c r="H218" s="9"/>
      <c r="I218" s="6"/>
      <c r="J218" s="6"/>
      <c r="K218" s="6"/>
      <c r="L218" s="7"/>
      <c r="M218" s="7"/>
      <c r="N218" s="6"/>
      <c r="O218" s="6"/>
    </row>
    <row r="219" customFormat="false" ht="15" hidden="false" customHeight="false" outlineLevel="0" collapsed="false">
      <c r="A219" s="6"/>
      <c r="B219" s="10"/>
      <c r="C219" s="16" t="str">
        <f aca="false">IF(B219="","",DATE(YEAR(B219),MONTH(B219),1))</f>
        <v/>
      </c>
      <c r="D219" s="6"/>
      <c r="E219" s="14" t="str">
        <f aca="false">IF(D219="","",IFERROR(INDEX(Pacientes!$Q:$Q,MATCH(D219,Pacientes!$A:$A,0))&amp;"","ID no existe"))</f>
        <v/>
      </c>
      <c r="F219" s="14" t="str">
        <f aca="false">IF(D219="","",IFERROR(INDEX(Pacientes!$D:$D,MATCH(D219,Pacientes!$A:$A,0))&amp;"","ID no existe"))</f>
        <v/>
      </c>
      <c r="G219" s="14" t="str">
        <f aca="false">IF(D219="","",IFERROR(INDEX(Pacientes!$E:$E,MATCH(D219,Pacientes!$A:$A,0))&amp;"","ID no existe"))</f>
        <v/>
      </c>
      <c r="H219" s="9"/>
      <c r="I219" s="6"/>
      <c r="J219" s="6"/>
      <c r="K219" s="6"/>
      <c r="L219" s="7"/>
      <c r="M219" s="7"/>
      <c r="N219" s="6"/>
      <c r="O219" s="6"/>
    </row>
    <row r="220" customFormat="false" ht="15" hidden="false" customHeight="false" outlineLevel="0" collapsed="false">
      <c r="A220" s="6"/>
      <c r="B220" s="10"/>
      <c r="C220" s="16" t="str">
        <f aca="false">IF(B220="","",DATE(YEAR(B220),MONTH(B220),1))</f>
        <v/>
      </c>
      <c r="D220" s="6"/>
      <c r="E220" s="14" t="str">
        <f aca="false">IF(D220="","",IFERROR(INDEX(Pacientes!$Q:$Q,MATCH(D220,Pacientes!$A:$A,0))&amp;"","ID no existe"))</f>
        <v/>
      </c>
      <c r="F220" s="14" t="str">
        <f aca="false">IF(D220="","",IFERROR(INDEX(Pacientes!$D:$D,MATCH(D220,Pacientes!$A:$A,0))&amp;"","ID no existe"))</f>
        <v/>
      </c>
      <c r="G220" s="14" t="str">
        <f aca="false">IF(D220="","",IFERROR(INDEX(Pacientes!$E:$E,MATCH(D220,Pacientes!$A:$A,0))&amp;"","ID no existe"))</f>
        <v/>
      </c>
      <c r="H220" s="9"/>
      <c r="I220" s="6"/>
      <c r="J220" s="6"/>
      <c r="K220" s="6"/>
      <c r="L220" s="7"/>
      <c r="M220" s="7"/>
      <c r="N220" s="6"/>
      <c r="O220" s="6"/>
    </row>
    <row r="221" customFormat="false" ht="15" hidden="false" customHeight="false" outlineLevel="0" collapsed="false">
      <c r="A221" s="6"/>
      <c r="B221" s="10"/>
      <c r="C221" s="16" t="str">
        <f aca="false">IF(B221="","",DATE(YEAR(B221),MONTH(B221),1))</f>
        <v/>
      </c>
      <c r="D221" s="6"/>
      <c r="E221" s="14" t="str">
        <f aca="false">IF(D221="","",IFERROR(INDEX(Pacientes!$Q:$Q,MATCH(D221,Pacientes!$A:$A,0))&amp;"","ID no existe"))</f>
        <v/>
      </c>
      <c r="F221" s="14" t="str">
        <f aca="false">IF(D221="","",IFERROR(INDEX(Pacientes!$D:$D,MATCH(D221,Pacientes!$A:$A,0))&amp;"","ID no existe"))</f>
        <v/>
      </c>
      <c r="G221" s="14" t="str">
        <f aca="false">IF(D221="","",IFERROR(INDEX(Pacientes!$E:$E,MATCH(D221,Pacientes!$A:$A,0))&amp;"","ID no existe"))</f>
        <v/>
      </c>
      <c r="H221" s="9"/>
      <c r="I221" s="6"/>
      <c r="J221" s="6"/>
      <c r="K221" s="6"/>
      <c r="L221" s="7"/>
      <c r="M221" s="7"/>
      <c r="N221" s="6"/>
      <c r="O221" s="6"/>
    </row>
    <row r="222" customFormat="false" ht="15" hidden="false" customHeight="false" outlineLevel="0" collapsed="false">
      <c r="A222" s="6"/>
      <c r="B222" s="10"/>
      <c r="C222" s="16" t="str">
        <f aca="false">IF(B222="","",DATE(YEAR(B222),MONTH(B222),1))</f>
        <v/>
      </c>
      <c r="D222" s="6"/>
      <c r="E222" s="14" t="str">
        <f aca="false">IF(D222="","",IFERROR(INDEX(Pacientes!$Q:$Q,MATCH(D222,Pacientes!$A:$A,0))&amp;"","ID no existe"))</f>
        <v/>
      </c>
      <c r="F222" s="14" t="str">
        <f aca="false">IF(D222="","",IFERROR(INDEX(Pacientes!$D:$D,MATCH(D222,Pacientes!$A:$A,0))&amp;"","ID no existe"))</f>
        <v/>
      </c>
      <c r="G222" s="14" t="str">
        <f aca="false">IF(D222="","",IFERROR(INDEX(Pacientes!$E:$E,MATCH(D222,Pacientes!$A:$A,0))&amp;"","ID no existe"))</f>
        <v/>
      </c>
      <c r="H222" s="9"/>
      <c r="I222" s="6"/>
      <c r="J222" s="6"/>
      <c r="K222" s="6"/>
      <c r="L222" s="7"/>
      <c r="M222" s="7"/>
      <c r="N222" s="6"/>
      <c r="O222" s="6"/>
    </row>
    <row r="223" customFormat="false" ht="15" hidden="false" customHeight="false" outlineLevel="0" collapsed="false">
      <c r="A223" s="6"/>
      <c r="B223" s="10"/>
      <c r="C223" s="16" t="str">
        <f aca="false">IF(B223="","",DATE(YEAR(B223),MONTH(B223),1))</f>
        <v/>
      </c>
      <c r="D223" s="6"/>
      <c r="E223" s="14" t="str">
        <f aca="false">IF(D223="","",IFERROR(INDEX(Pacientes!$Q:$Q,MATCH(D223,Pacientes!$A:$A,0))&amp;"","ID no existe"))</f>
        <v/>
      </c>
      <c r="F223" s="14" t="str">
        <f aca="false">IF(D223="","",IFERROR(INDEX(Pacientes!$D:$D,MATCH(D223,Pacientes!$A:$A,0))&amp;"","ID no existe"))</f>
        <v/>
      </c>
      <c r="G223" s="14" t="str">
        <f aca="false">IF(D223="","",IFERROR(INDEX(Pacientes!$E:$E,MATCH(D223,Pacientes!$A:$A,0))&amp;"","ID no existe"))</f>
        <v/>
      </c>
      <c r="H223" s="9"/>
      <c r="I223" s="6"/>
      <c r="J223" s="6"/>
      <c r="K223" s="6"/>
      <c r="L223" s="7"/>
      <c r="M223" s="7"/>
      <c r="N223" s="6"/>
      <c r="O223" s="6"/>
    </row>
    <row r="224" customFormat="false" ht="15" hidden="false" customHeight="false" outlineLevel="0" collapsed="false">
      <c r="A224" s="6"/>
      <c r="B224" s="10"/>
      <c r="C224" s="16" t="str">
        <f aca="false">IF(B224="","",DATE(YEAR(B224),MONTH(B224),1))</f>
        <v/>
      </c>
      <c r="D224" s="6"/>
      <c r="E224" s="14" t="str">
        <f aca="false">IF(D224="","",IFERROR(INDEX(Pacientes!$Q:$Q,MATCH(D224,Pacientes!$A:$A,0))&amp;"","ID no existe"))</f>
        <v/>
      </c>
      <c r="F224" s="14" t="str">
        <f aca="false">IF(D224="","",IFERROR(INDEX(Pacientes!$D:$D,MATCH(D224,Pacientes!$A:$A,0))&amp;"","ID no existe"))</f>
        <v/>
      </c>
      <c r="G224" s="14" t="str">
        <f aca="false">IF(D224="","",IFERROR(INDEX(Pacientes!$E:$E,MATCH(D224,Pacientes!$A:$A,0))&amp;"","ID no existe"))</f>
        <v/>
      </c>
      <c r="H224" s="9"/>
      <c r="I224" s="6"/>
      <c r="J224" s="6"/>
      <c r="K224" s="6"/>
      <c r="L224" s="7"/>
      <c r="M224" s="7"/>
      <c r="N224" s="6"/>
      <c r="O224" s="6"/>
    </row>
    <row r="225" customFormat="false" ht="15" hidden="false" customHeight="false" outlineLevel="0" collapsed="false">
      <c r="A225" s="6"/>
      <c r="B225" s="10"/>
      <c r="C225" s="16" t="str">
        <f aca="false">IF(B225="","",DATE(YEAR(B225),MONTH(B225),1))</f>
        <v/>
      </c>
      <c r="D225" s="6"/>
      <c r="E225" s="14" t="str">
        <f aca="false">IF(D225="","",IFERROR(INDEX(Pacientes!$Q:$Q,MATCH(D225,Pacientes!$A:$A,0))&amp;"","ID no existe"))</f>
        <v/>
      </c>
      <c r="F225" s="14" t="str">
        <f aca="false">IF(D225="","",IFERROR(INDEX(Pacientes!$D:$D,MATCH(D225,Pacientes!$A:$A,0))&amp;"","ID no existe"))</f>
        <v/>
      </c>
      <c r="G225" s="14" t="str">
        <f aca="false">IF(D225="","",IFERROR(INDEX(Pacientes!$E:$E,MATCH(D225,Pacientes!$A:$A,0))&amp;"","ID no existe"))</f>
        <v/>
      </c>
      <c r="H225" s="9"/>
      <c r="I225" s="6"/>
      <c r="J225" s="6"/>
      <c r="K225" s="6"/>
      <c r="L225" s="7"/>
      <c r="M225" s="7"/>
      <c r="N225" s="6"/>
      <c r="O225" s="6"/>
    </row>
    <row r="226" customFormat="false" ht="15" hidden="false" customHeight="false" outlineLevel="0" collapsed="false">
      <c r="A226" s="6"/>
      <c r="B226" s="10"/>
      <c r="C226" s="16" t="str">
        <f aca="false">IF(B226="","",DATE(YEAR(B226),MONTH(B226),1))</f>
        <v/>
      </c>
      <c r="D226" s="6"/>
      <c r="E226" s="14" t="str">
        <f aca="false">IF(D226="","",IFERROR(INDEX(Pacientes!$Q:$Q,MATCH(D226,Pacientes!$A:$A,0))&amp;"","ID no existe"))</f>
        <v/>
      </c>
      <c r="F226" s="14" t="str">
        <f aca="false">IF(D226="","",IFERROR(INDEX(Pacientes!$D:$D,MATCH(D226,Pacientes!$A:$A,0))&amp;"","ID no existe"))</f>
        <v/>
      </c>
      <c r="G226" s="14" t="str">
        <f aca="false">IF(D226="","",IFERROR(INDEX(Pacientes!$E:$E,MATCH(D226,Pacientes!$A:$A,0))&amp;"","ID no existe"))</f>
        <v/>
      </c>
      <c r="H226" s="9"/>
      <c r="I226" s="6"/>
      <c r="J226" s="6"/>
      <c r="K226" s="6"/>
      <c r="L226" s="7"/>
      <c r="M226" s="7"/>
      <c r="N226" s="6"/>
      <c r="O226" s="6"/>
    </row>
    <row r="227" customFormat="false" ht="15" hidden="false" customHeight="false" outlineLevel="0" collapsed="false">
      <c r="A227" s="6"/>
      <c r="B227" s="10"/>
      <c r="C227" s="16" t="str">
        <f aca="false">IF(B227="","",DATE(YEAR(B227),MONTH(B227),1))</f>
        <v/>
      </c>
      <c r="D227" s="6"/>
      <c r="E227" s="14" t="str">
        <f aca="false">IF(D227="","",IFERROR(INDEX(Pacientes!$Q:$Q,MATCH(D227,Pacientes!$A:$A,0))&amp;"","ID no existe"))</f>
        <v/>
      </c>
      <c r="F227" s="14" t="str">
        <f aca="false">IF(D227="","",IFERROR(INDEX(Pacientes!$D:$D,MATCH(D227,Pacientes!$A:$A,0))&amp;"","ID no existe"))</f>
        <v/>
      </c>
      <c r="G227" s="14" t="str">
        <f aca="false">IF(D227="","",IFERROR(INDEX(Pacientes!$E:$E,MATCH(D227,Pacientes!$A:$A,0))&amp;"","ID no existe"))</f>
        <v/>
      </c>
      <c r="H227" s="9"/>
      <c r="I227" s="6"/>
      <c r="J227" s="6"/>
      <c r="K227" s="6"/>
      <c r="L227" s="7"/>
      <c r="M227" s="7"/>
      <c r="N227" s="6"/>
      <c r="O227" s="6"/>
    </row>
    <row r="228" customFormat="false" ht="15" hidden="false" customHeight="false" outlineLevel="0" collapsed="false">
      <c r="A228" s="6"/>
      <c r="B228" s="10"/>
      <c r="C228" s="16" t="str">
        <f aca="false">IF(B228="","",DATE(YEAR(B228),MONTH(B228),1))</f>
        <v/>
      </c>
      <c r="D228" s="6"/>
      <c r="E228" s="14" t="str">
        <f aca="false">IF(D228="","",IFERROR(INDEX(Pacientes!$Q:$Q,MATCH(D228,Pacientes!$A:$A,0))&amp;"","ID no existe"))</f>
        <v/>
      </c>
      <c r="F228" s="14" t="str">
        <f aca="false">IF(D228="","",IFERROR(INDEX(Pacientes!$D:$D,MATCH(D228,Pacientes!$A:$A,0))&amp;"","ID no existe"))</f>
        <v/>
      </c>
      <c r="G228" s="14" t="str">
        <f aca="false">IF(D228="","",IFERROR(INDEX(Pacientes!$E:$E,MATCH(D228,Pacientes!$A:$A,0))&amp;"","ID no existe"))</f>
        <v/>
      </c>
      <c r="H228" s="9"/>
      <c r="I228" s="6"/>
      <c r="J228" s="6"/>
      <c r="K228" s="6"/>
      <c r="L228" s="7"/>
      <c r="M228" s="7"/>
      <c r="N228" s="6"/>
      <c r="O228" s="6"/>
    </row>
    <row r="229" customFormat="false" ht="15" hidden="false" customHeight="false" outlineLevel="0" collapsed="false">
      <c r="A229" s="6"/>
      <c r="B229" s="10"/>
      <c r="C229" s="16" t="str">
        <f aca="false">IF(B229="","",DATE(YEAR(B229),MONTH(B229),1))</f>
        <v/>
      </c>
      <c r="D229" s="6"/>
      <c r="E229" s="14" t="str">
        <f aca="false">IF(D229="","",IFERROR(INDEX(Pacientes!$Q:$Q,MATCH(D229,Pacientes!$A:$A,0))&amp;"","ID no existe"))</f>
        <v/>
      </c>
      <c r="F229" s="14" t="str">
        <f aca="false">IF(D229="","",IFERROR(INDEX(Pacientes!$D:$D,MATCH(D229,Pacientes!$A:$A,0))&amp;"","ID no existe"))</f>
        <v/>
      </c>
      <c r="G229" s="14" t="str">
        <f aca="false">IF(D229="","",IFERROR(INDEX(Pacientes!$E:$E,MATCH(D229,Pacientes!$A:$A,0))&amp;"","ID no existe"))</f>
        <v/>
      </c>
      <c r="H229" s="9"/>
      <c r="I229" s="6"/>
      <c r="J229" s="6"/>
      <c r="K229" s="6"/>
      <c r="L229" s="7"/>
      <c r="M229" s="7"/>
      <c r="N229" s="6"/>
      <c r="O229" s="6"/>
    </row>
    <row r="230" customFormat="false" ht="15" hidden="false" customHeight="false" outlineLevel="0" collapsed="false">
      <c r="A230" s="6"/>
      <c r="B230" s="10"/>
      <c r="C230" s="16" t="str">
        <f aca="false">IF(B230="","",DATE(YEAR(B230),MONTH(B230),1))</f>
        <v/>
      </c>
      <c r="D230" s="6"/>
      <c r="E230" s="14" t="str">
        <f aca="false">IF(D230="","",IFERROR(INDEX(Pacientes!$Q:$Q,MATCH(D230,Pacientes!$A:$A,0))&amp;"","ID no existe"))</f>
        <v/>
      </c>
      <c r="F230" s="14" t="str">
        <f aca="false">IF(D230="","",IFERROR(INDEX(Pacientes!$D:$D,MATCH(D230,Pacientes!$A:$A,0))&amp;"","ID no existe"))</f>
        <v/>
      </c>
      <c r="G230" s="14" t="str">
        <f aca="false">IF(D230="","",IFERROR(INDEX(Pacientes!$E:$E,MATCH(D230,Pacientes!$A:$A,0))&amp;"","ID no existe"))</f>
        <v/>
      </c>
      <c r="H230" s="9"/>
      <c r="I230" s="6"/>
      <c r="J230" s="6"/>
      <c r="K230" s="6"/>
      <c r="L230" s="7"/>
      <c r="M230" s="7"/>
      <c r="N230" s="6"/>
      <c r="O230" s="6"/>
    </row>
    <row r="231" customFormat="false" ht="15" hidden="false" customHeight="false" outlineLevel="0" collapsed="false">
      <c r="A231" s="6"/>
      <c r="B231" s="10"/>
      <c r="C231" s="16" t="str">
        <f aca="false">IF(B231="","",DATE(YEAR(B231),MONTH(B231),1))</f>
        <v/>
      </c>
      <c r="D231" s="6"/>
      <c r="E231" s="14" t="str">
        <f aca="false">IF(D231="","",IFERROR(INDEX(Pacientes!$Q:$Q,MATCH(D231,Pacientes!$A:$A,0))&amp;"","ID no existe"))</f>
        <v/>
      </c>
      <c r="F231" s="14" t="str">
        <f aca="false">IF(D231="","",IFERROR(INDEX(Pacientes!$D:$D,MATCH(D231,Pacientes!$A:$A,0))&amp;"","ID no existe"))</f>
        <v/>
      </c>
      <c r="G231" s="14" t="str">
        <f aca="false">IF(D231="","",IFERROR(INDEX(Pacientes!$E:$E,MATCH(D231,Pacientes!$A:$A,0))&amp;"","ID no existe"))</f>
        <v/>
      </c>
      <c r="H231" s="9"/>
      <c r="I231" s="6"/>
      <c r="J231" s="6"/>
      <c r="K231" s="6"/>
      <c r="L231" s="7"/>
      <c r="M231" s="7"/>
      <c r="N231" s="6"/>
      <c r="O231" s="6"/>
    </row>
    <row r="232" customFormat="false" ht="15" hidden="false" customHeight="false" outlineLevel="0" collapsed="false">
      <c r="A232" s="6"/>
      <c r="B232" s="10"/>
      <c r="C232" s="16" t="str">
        <f aca="false">IF(B232="","",DATE(YEAR(B232),MONTH(B232),1))</f>
        <v/>
      </c>
      <c r="D232" s="6"/>
      <c r="E232" s="14" t="str">
        <f aca="false">IF(D232="","",IFERROR(INDEX(Pacientes!$Q:$Q,MATCH(D232,Pacientes!$A:$A,0))&amp;"","ID no existe"))</f>
        <v/>
      </c>
      <c r="F232" s="14" t="str">
        <f aca="false">IF(D232="","",IFERROR(INDEX(Pacientes!$D:$D,MATCH(D232,Pacientes!$A:$A,0))&amp;"","ID no existe"))</f>
        <v/>
      </c>
      <c r="G232" s="14" t="str">
        <f aca="false">IF(D232="","",IFERROR(INDEX(Pacientes!$E:$E,MATCH(D232,Pacientes!$A:$A,0))&amp;"","ID no existe"))</f>
        <v/>
      </c>
      <c r="H232" s="9"/>
      <c r="I232" s="6"/>
      <c r="J232" s="6"/>
      <c r="K232" s="6"/>
      <c r="L232" s="7"/>
      <c r="M232" s="7"/>
      <c r="N232" s="6"/>
      <c r="O232" s="6"/>
    </row>
    <row r="233" customFormat="false" ht="15" hidden="false" customHeight="false" outlineLevel="0" collapsed="false">
      <c r="A233" s="6"/>
      <c r="B233" s="10"/>
      <c r="C233" s="16" t="str">
        <f aca="false">IF(B233="","",DATE(YEAR(B233),MONTH(B233),1))</f>
        <v/>
      </c>
      <c r="D233" s="6"/>
      <c r="E233" s="14" t="str">
        <f aca="false">IF(D233="","",IFERROR(INDEX(Pacientes!$Q:$Q,MATCH(D233,Pacientes!$A:$A,0))&amp;"","ID no existe"))</f>
        <v/>
      </c>
      <c r="F233" s="14" t="str">
        <f aca="false">IF(D233="","",IFERROR(INDEX(Pacientes!$D:$D,MATCH(D233,Pacientes!$A:$A,0))&amp;"","ID no existe"))</f>
        <v/>
      </c>
      <c r="G233" s="14" t="str">
        <f aca="false">IF(D233="","",IFERROR(INDEX(Pacientes!$E:$E,MATCH(D233,Pacientes!$A:$A,0))&amp;"","ID no existe"))</f>
        <v/>
      </c>
      <c r="H233" s="9"/>
      <c r="I233" s="6"/>
      <c r="J233" s="6"/>
      <c r="K233" s="6"/>
      <c r="L233" s="7"/>
      <c r="M233" s="7"/>
      <c r="N233" s="6"/>
      <c r="O233" s="6"/>
    </row>
    <row r="234" customFormat="false" ht="15" hidden="false" customHeight="false" outlineLevel="0" collapsed="false">
      <c r="A234" s="6"/>
      <c r="B234" s="10"/>
      <c r="C234" s="16" t="str">
        <f aca="false">IF(B234="","",DATE(YEAR(B234),MONTH(B234),1))</f>
        <v/>
      </c>
      <c r="D234" s="6"/>
      <c r="E234" s="14" t="str">
        <f aca="false">IF(D234="","",IFERROR(INDEX(Pacientes!$Q:$Q,MATCH(D234,Pacientes!$A:$A,0))&amp;"","ID no existe"))</f>
        <v/>
      </c>
      <c r="F234" s="14" t="str">
        <f aca="false">IF(D234="","",IFERROR(INDEX(Pacientes!$D:$D,MATCH(D234,Pacientes!$A:$A,0))&amp;"","ID no existe"))</f>
        <v/>
      </c>
      <c r="G234" s="14" t="str">
        <f aca="false">IF(D234="","",IFERROR(INDEX(Pacientes!$E:$E,MATCH(D234,Pacientes!$A:$A,0))&amp;"","ID no existe"))</f>
        <v/>
      </c>
      <c r="H234" s="9"/>
      <c r="I234" s="6"/>
      <c r="J234" s="6"/>
      <c r="K234" s="6"/>
      <c r="L234" s="7"/>
      <c r="M234" s="7"/>
      <c r="N234" s="6"/>
      <c r="O234" s="6"/>
    </row>
    <row r="235" customFormat="false" ht="15" hidden="false" customHeight="false" outlineLevel="0" collapsed="false">
      <c r="A235" s="6"/>
      <c r="B235" s="10"/>
      <c r="C235" s="16" t="str">
        <f aca="false">IF(B235="","",DATE(YEAR(B235),MONTH(B235),1))</f>
        <v/>
      </c>
      <c r="D235" s="6"/>
      <c r="E235" s="14" t="str">
        <f aca="false">IF(D235="","",IFERROR(INDEX(Pacientes!$Q:$Q,MATCH(D235,Pacientes!$A:$A,0))&amp;"","ID no existe"))</f>
        <v/>
      </c>
      <c r="F235" s="14" t="str">
        <f aca="false">IF(D235="","",IFERROR(INDEX(Pacientes!$D:$D,MATCH(D235,Pacientes!$A:$A,0))&amp;"","ID no existe"))</f>
        <v/>
      </c>
      <c r="G235" s="14" t="str">
        <f aca="false">IF(D235="","",IFERROR(INDEX(Pacientes!$E:$E,MATCH(D235,Pacientes!$A:$A,0))&amp;"","ID no existe"))</f>
        <v/>
      </c>
      <c r="H235" s="9"/>
      <c r="I235" s="6"/>
      <c r="J235" s="6"/>
      <c r="K235" s="6"/>
      <c r="L235" s="7"/>
      <c r="M235" s="7"/>
      <c r="N235" s="6"/>
      <c r="O235" s="6"/>
    </row>
    <row r="236" customFormat="false" ht="15" hidden="false" customHeight="false" outlineLevel="0" collapsed="false">
      <c r="A236" s="6"/>
      <c r="B236" s="10"/>
      <c r="C236" s="16" t="str">
        <f aca="false">IF(B236="","",DATE(YEAR(B236),MONTH(B236),1))</f>
        <v/>
      </c>
      <c r="D236" s="6"/>
      <c r="E236" s="14" t="str">
        <f aca="false">IF(D236="","",IFERROR(INDEX(Pacientes!$Q:$Q,MATCH(D236,Pacientes!$A:$A,0))&amp;"","ID no existe"))</f>
        <v/>
      </c>
      <c r="F236" s="14" t="str">
        <f aca="false">IF(D236="","",IFERROR(INDEX(Pacientes!$D:$D,MATCH(D236,Pacientes!$A:$A,0))&amp;"","ID no existe"))</f>
        <v/>
      </c>
      <c r="G236" s="14" t="str">
        <f aca="false">IF(D236="","",IFERROR(INDEX(Pacientes!$E:$E,MATCH(D236,Pacientes!$A:$A,0))&amp;"","ID no existe"))</f>
        <v/>
      </c>
      <c r="H236" s="9"/>
      <c r="I236" s="6"/>
      <c r="J236" s="6"/>
      <c r="K236" s="6"/>
      <c r="L236" s="7"/>
      <c r="M236" s="7"/>
      <c r="N236" s="6"/>
      <c r="O236" s="6"/>
    </row>
    <row r="237" customFormat="false" ht="15" hidden="false" customHeight="false" outlineLevel="0" collapsed="false">
      <c r="A237" s="6"/>
      <c r="B237" s="10"/>
      <c r="C237" s="16" t="str">
        <f aca="false">IF(B237="","",DATE(YEAR(B237),MONTH(B237),1))</f>
        <v/>
      </c>
      <c r="D237" s="6"/>
      <c r="E237" s="14" t="str">
        <f aca="false">IF(D237="","",IFERROR(INDEX(Pacientes!$Q:$Q,MATCH(D237,Pacientes!$A:$A,0))&amp;"","ID no existe"))</f>
        <v/>
      </c>
      <c r="F237" s="14" t="str">
        <f aca="false">IF(D237="","",IFERROR(INDEX(Pacientes!$D:$D,MATCH(D237,Pacientes!$A:$A,0))&amp;"","ID no existe"))</f>
        <v/>
      </c>
      <c r="G237" s="14" t="str">
        <f aca="false">IF(D237="","",IFERROR(INDEX(Pacientes!$E:$E,MATCH(D237,Pacientes!$A:$A,0))&amp;"","ID no existe"))</f>
        <v/>
      </c>
      <c r="H237" s="9"/>
      <c r="I237" s="6"/>
      <c r="J237" s="6"/>
      <c r="K237" s="6"/>
      <c r="L237" s="7"/>
      <c r="M237" s="7"/>
      <c r="N237" s="6"/>
      <c r="O237" s="6"/>
    </row>
    <row r="238" customFormat="false" ht="15" hidden="false" customHeight="false" outlineLevel="0" collapsed="false">
      <c r="A238" s="6"/>
      <c r="B238" s="10"/>
      <c r="C238" s="16" t="str">
        <f aca="false">IF(B238="","",DATE(YEAR(B238),MONTH(B238),1))</f>
        <v/>
      </c>
      <c r="D238" s="6"/>
      <c r="E238" s="14" t="str">
        <f aca="false">IF(D238="","",IFERROR(INDEX(Pacientes!$Q:$Q,MATCH(D238,Pacientes!$A:$A,0))&amp;"","ID no existe"))</f>
        <v/>
      </c>
      <c r="F238" s="14" t="str">
        <f aca="false">IF(D238="","",IFERROR(INDEX(Pacientes!$D:$D,MATCH(D238,Pacientes!$A:$A,0))&amp;"","ID no existe"))</f>
        <v/>
      </c>
      <c r="G238" s="14" t="str">
        <f aca="false">IF(D238="","",IFERROR(INDEX(Pacientes!$E:$E,MATCH(D238,Pacientes!$A:$A,0))&amp;"","ID no existe"))</f>
        <v/>
      </c>
      <c r="H238" s="9"/>
      <c r="I238" s="6"/>
      <c r="J238" s="6"/>
      <c r="K238" s="6"/>
      <c r="L238" s="7"/>
      <c r="M238" s="7"/>
      <c r="N238" s="6"/>
      <c r="O238" s="6"/>
    </row>
    <row r="239" customFormat="false" ht="15" hidden="false" customHeight="false" outlineLevel="0" collapsed="false">
      <c r="A239" s="6"/>
      <c r="B239" s="10"/>
      <c r="C239" s="16" t="str">
        <f aca="false">IF(B239="","",DATE(YEAR(B239),MONTH(B239),1))</f>
        <v/>
      </c>
      <c r="D239" s="6"/>
      <c r="E239" s="14" t="str">
        <f aca="false">IF(D239="","",IFERROR(INDEX(Pacientes!$Q:$Q,MATCH(D239,Pacientes!$A:$A,0))&amp;"","ID no existe"))</f>
        <v/>
      </c>
      <c r="F239" s="14" t="str">
        <f aca="false">IF(D239="","",IFERROR(INDEX(Pacientes!$D:$D,MATCH(D239,Pacientes!$A:$A,0))&amp;"","ID no existe"))</f>
        <v/>
      </c>
      <c r="G239" s="14" t="str">
        <f aca="false">IF(D239="","",IFERROR(INDEX(Pacientes!$E:$E,MATCH(D239,Pacientes!$A:$A,0))&amp;"","ID no existe"))</f>
        <v/>
      </c>
      <c r="H239" s="9"/>
      <c r="I239" s="6"/>
      <c r="J239" s="6"/>
      <c r="K239" s="6"/>
      <c r="L239" s="7"/>
      <c r="M239" s="7"/>
      <c r="N239" s="6"/>
      <c r="O239" s="6"/>
    </row>
    <row r="240" customFormat="false" ht="15" hidden="false" customHeight="false" outlineLevel="0" collapsed="false">
      <c r="A240" s="6"/>
      <c r="B240" s="10"/>
      <c r="C240" s="16" t="str">
        <f aca="false">IF(B240="","",DATE(YEAR(B240),MONTH(B240),1))</f>
        <v/>
      </c>
      <c r="D240" s="6"/>
      <c r="E240" s="14" t="str">
        <f aca="false">IF(D240="","",IFERROR(INDEX(Pacientes!$Q:$Q,MATCH(D240,Pacientes!$A:$A,0))&amp;"","ID no existe"))</f>
        <v/>
      </c>
      <c r="F240" s="14" t="str">
        <f aca="false">IF(D240="","",IFERROR(INDEX(Pacientes!$D:$D,MATCH(D240,Pacientes!$A:$A,0))&amp;"","ID no existe"))</f>
        <v/>
      </c>
      <c r="G240" s="14" t="str">
        <f aca="false">IF(D240="","",IFERROR(INDEX(Pacientes!$E:$E,MATCH(D240,Pacientes!$A:$A,0))&amp;"","ID no existe"))</f>
        <v/>
      </c>
      <c r="H240" s="9"/>
      <c r="I240" s="6"/>
      <c r="J240" s="6"/>
      <c r="K240" s="6"/>
      <c r="L240" s="7"/>
      <c r="M240" s="7"/>
      <c r="N240" s="6"/>
      <c r="O240" s="6"/>
    </row>
    <row r="241" customFormat="false" ht="15" hidden="false" customHeight="false" outlineLevel="0" collapsed="false">
      <c r="A241" s="6"/>
      <c r="B241" s="10"/>
      <c r="C241" s="16" t="str">
        <f aca="false">IF(B241="","",DATE(YEAR(B241),MONTH(B241),1))</f>
        <v/>
      </c>
      <c r="D241" s="6"/>
      <c r="E241" s="14" t="str">
        <f aca="false">IF(D241="","",IFERROR(INDEX(Pacientes!$Q:$Q,MATCH(D241,Pacientes!$A:$A,0))&amp;"","ID no existe"))</f>
        <v/>
      </c>
      <c r="F241" s="14" t="str">
        <f aca="false">IF(D241="","",IFERROR(INDEX(Pacientes!$D:$D,MATCH(D241,Pacientes!$A:$A,0))&amp;"","ID no existe"))</f>
        <v/>
      </c>
      <c r="G241" s="14" t="str">
        <f aca="false">IF(D241="","",IFERROR(INDEX(Pacientes!$E:$E,MATCH(D241,Pacientes!$A:$A,0))&amp;"","ID no existe"))</f>
        <v/>
      </c>
      <c r="H241" s="9"/>
      <c r="I241" s="6"/>
      <c r="J241" s="6"/>
      <c r="K241" s="6"/>
      <c r="L241" s="7"/>
      <c r="M241" s="7"/>
      <c r="N241" s="6"/>
      <c r="O241" s="6"/>
    </row>
    <row r="242" customFormat="false" ht="15" hidden="false" customHeight="false" outlineLevel="0" collapsed="false">
      <c r="A242" s="6"/>
      <c r="B242" s="10"/>
      <c r="C242" s="16" t="str">
        <f aca="false">IF(B242="","",DATE(YEAR(B242),MONTH(B242),1))</f>
        <v/>
      </c>
      <c r="D242" s="6"/>
      <c r="E242" s="14" t="str">
        <f aca="false">IF(D242="","",IFERROR(INDEX(Pacientes!$Q:$Q,MATCH(D242,Pacientes!$A:$A,0))&amp;"","ID no existe"))</f>
        <v/>
      </c>
      <c r="F242" s="14" t="str">
        <f aca="false">IF(D242="","",IFERROR(INDEX(Pacientes!$D:$D,MATCH(D242,Pacientes!$A:$A,0))&amp;"","ID no existe"))</f>
        <v/>
      </c>
      <c r="G242" s="14" t="str">
        <f aca="false">IF(D242="","",IFERROR(INDEX(Pacientes!$E:$E,MATCH(D242,Pacientes!$A:$A,0))&amp;"","ID no existe"))</f>
        <v/>
      </c>
      <c r="H242" s="9"/>
      <c r="I242" s="6"/>
      <c r="J242" s="6"/>
      <c r="K242" s="6"/>
      <c r="L242" s="7"/>
      <c r="M242" s="7"/>
      <c r="N242" s="6"/>
      <c r="O242" s="6"/>
    </row>
    <row r="243" customFormat="false" ht="15" hidden="false" customHeight="false" outlineLevel="0" collapsed="false">
      <c r="A243" s="6"/>
      <c r="B243" s="10"/>
      <c r="C243" s="16" t="str">
        <f aca="false">IF(B243="","",DATE(YEAR(B243),MONTH(B243),1))</f>
        <v/>
      </c>
      <c r="D243" s="6"/>
      <c r="E243" s="14" t="str">
        <f aca="false">IF(D243="","",IFERROR(INDEX(Pacientes!$Q:$Q,MATCH(D243,Pacientes!$A:$A,0))&amp;"","ID no existe"))</f>
        <v/>
      </c>
      <c r="F243" s="14" t="str">
        <f aca="false">IF(D243="","",IFERROR(INDEX(Pacientes!$D:$D,MATCH(D243,Pacientes!$A:$A,0))&amp;"","ID no existe"))</f>
        <v/>
      </c>
      <c r="G243" s="14" t="str">
        <f aca="false">IF(D243="","",IFERROR(INDEX(Pacientes!$E:$E,MATCH(D243,Pacientes!$A:$A,0))&amp;"","ID no existe"))</f>
        <v/>
      </c>
      <c r="H243" s="9"/>
      <c r="I243" s="6"/>
      <c r="J243" s="6"/>
      <c r="K243" s="6"/>
      <c r="L243" s="7"/>
      <c r="M243" s="7"/>
      <c r="N243" s="6"/>
      <c r="O243" s="6"/>
    </row>
    <row r="244" customFormat="false" ht="15" hidden="false" customHeight="false" outlineLevel="0" collapsed="false">
      <c r="A244" s="6"/>
      <c r="B244" s="10"/>
      <c r="C244" s="16" t="str">
        <f aca="false">IF(B244="","",DATE(YEAR(B244),MONTH(B244),1))</f>
        <v/>
      </c>
      <c r="D244" s="6"/>
      <c r="E244" s="14" t="str">
        <f aca="false">IF(D244="","",IFERROR(INDEX(Pacientes!$Q:$Q,MATCH(D244,Pacientes!$A:$A,0))&amp;"","ID no existe"))</f>
        <v/>
      </c>
      <c r="F244" s="14" t="str">
        <f aca="false">IF(D244="","",IFERROR(INDEX(Pacientes!$D:$D,MATCH(D244,Pacientes!$A:$A,0))&amp;"","ID no existe"))</f>
        <v/>
      </c>
      <c r="G244" s="14" t="str">
        <f aca="false">IF(D244="","",IFERROR(INDEX(Pacientes!$E:$E,MATCH(D244,Pacientes!$A:$A,0))&amp;"","ID no existe"))</f>
        <v/>
      </c>
      <c r="H244" s="9"/>
      <c r="I244" s="6"/>
      <c r="J244" s="6"/>
      <c r="K244" s="6"/>
      <c r="L244" s="7"/>
      <c r="M244" s="7"/>
      <c r="N244" s="6"/>
      <c r="O244" s="6"/>
    </row>
    <row r="245" customFormat="false" ht="15" hidden="false" customHeight="false" outlineLevel="0" collapsed="false">
      <c r="A245" s="6"/>
      <c r="B245" s="10"/>
      <c r="C245" s="16" t="str">
        <f aca="false">IF(B245="","",DATE(YEAR(B245),MONTH(B245),1))</f>
        <v/>
      </c>
      <c r="D245" s="6"/>
      <c r="E245" s="14" t="str">
        <f aca="false">IF(D245="","",IFERROR(INDEX(Pacientes!$Q:$Q,MATCH(D245,Pacientes!$A:$A,0))&amp;"","ID no existe"))</f>
        <v/>
      </c>
      <c r="F245" s="14" t="str">
        <f aca="false">IF(D245="","",IFERROR(INDEX(Pacientes!$D:$D,MATCH(D245,Pacientes!$A:$A,0))&amp;"","ID no existe"))</f>
        <v/>
      </c>
      <c r="G245" s="14" t="str">
        <f aca="false">IF(D245="","",IFERROR(INDEX(Pacientes!$E:$E,MATCH(D245,Pacientes!$A:$A,0))&amp;"","ID no existe"))</f>
        <v/>
      </c>
      <c r="H245" s="9"/>
      <c r="I245" s="6"/>
      <c r="J245" s="6"/>
      <c r="K245" s="6"/>
      <c r="L245" s="7"/>
      <c r="M245" s="7"/>
      <c r="N245" s="6"/>
      <c r="O245" s="6"/>
    </row>
    <row r="246" customFormat="false" ht="15" hidden="false" customHeight="false" outlineLevel="0" collapsed="false">
      <c r="A246" s="6"/>
      <c r="B246" s="10"/>
      <c r="C246" s="16" t="str">
        <f aca="false">IF(B246="","",DATE(YEAR(B246),MONTH(B246),1))</f>
        <v/>
      </c>
      <c r="D246" s="6"/>
      <c r="E246" s="14" t="str">
        <f aca="false">IF(D246="","",IFERROR(INDEX(Pacientes!$Q:$Q,MATCH(D246,Pacientes!$A:$A,0))&amp;"","ID no existe"))</f>
        <v/>
      </c>
      <c r="F246" s="14" t="str">
        <f aca="false">IF(D246="","",IFERROR(INDEX(Pacientes!$D:$D,MATCH(D246,Pacientes!$A:$A,0))&amp;"","ID no existe"))</f>
        <v/>
      </c>
      <c r="G246" s="14" t="str">
        <f aca="false">IF(D246="","",IFERROR(INDEX(Pacientes!$E:$E,MATCH(D246,Pacientes!$A:$A,0))&amp;"","ID no existe"))</f>
        <v/>
      </c>
      <c r="H246" s="9"/>
      <c r="I246" s="6"/>
      <c r="J246" s="6"/>
      <c r="K246" s="6"/>
      <c r="L246" s="7"/>
      <c r="M246" s="7"/>
      <c r="N246" s="6"/>
      <c r="O246" s="6"/>
    </row>
    <row r="247" customFormat="false" ht="15" hidden="false" customHeight="false" outlineLevel="0" collapsed="false">
      <c r="A247" s="6"/>
      <c r="B247" s="10"/>
      <c r="C247" s="16" t="str">
        <f aca="false">IF(B247="","",DATE(YEAR(B247),MONTH(B247),1))</f>
        <v/>
      </c>
      <c r="D247" s="6"/>
      <c r="E247" s="14" t="str">
        <f aca="false">IF(D247="","",IFERROR(INDEX(Pacientes!$Q:$Q,MATCH(D247,Pacientes!$A:$A,0))&amp;"","ID no existe"))</f>
        <v/>
      </c>
      <c r="F247" s="14" t="str">
        <f aca="false">IF(D247="","",IFERROR(INDEX(Pacientes!$D:$D,MATCH(D247,Pacientes!$A:$A,0))&amp;"","ID no existe"))</f>
        <v/>
      </c>
      <c r="G247" s="14" t="str">
        <f aca="false">IF(D247="","",IFERROR(INDEX(Pacientes!$E:$E,MATCH(D247,Pacientes!$A:$A,0))&amp;"","ID no existe"))</f>
        <v/>
      </c>
      <c r="H247" s="9"/>
      <c r="I247" s="6"/>
      <c r="J247" s="6"/>
      <c r="K247" s="6"/>
      <c r="L247" s="7"/>
      <c r="M247" s="7"/>
      <c r="N247" s="6"/>
      <c r="O247" s="6"/>
    </row>
    <row r="248" customFormat="false" ht="15" hidden="false" customHeight="false" outlineLevel="0" collapsed="false">
      <c r="A248" s="6"/>
      <c r="B248" s="10"/>
      <c r="C248" s="16" t="str">
        <f aca="false">IF(B248="","",DATE(YEAR(B248),MONTH(B248),1))</f>
        <v/>
      </c>
      <c r="D248" s="6"/>
      <c r="E248" s="14" t="str">
        <f aca="false">IF(D248="","",IFERROR(INDEX(Pacientes!$Q:$Q,MATCH(D248,Pacientes!$A:$A,0))&amp;"","ID no existe"))</f>
        <v/>
      </c>
      <c r="F248" s="14" t="str">
        <f aca="false">IF(D248="","",IFERROR(INDEX(Pacientes!$D:$D,MATCH(D248,Pacientes!$A:$A,0))&amp;"","ID no existe"))</f>
        <v/>
      </c>
      <c r="G248" s="14" t="str">
        <f aca="false">IF(D248="","",IFERROR(INDEX(Pacientes!$E:$E,MATCH(D248,Pacientes!$A:$A,0))&amp;"","ID no existe"))</f>
        <v/>
      </c>
      <c r="H248" s="9"/>
      <c r="I248" s="6"/>
      <c r="J248" s="6"/>
      <c r="K248" s="6"/>
      <c r="L248" s="7"/>
      <c r="M248" s="7"/>
      <c r="N248" s="6"/>
      <c r="O248" s="6"/>
    </row>
    <row r="249" customFormat="false" ht="15" hidden="false" customHeight="false" outlineLevel="0" collapsed="false">
      <c r="A249" s="6"/>
      <c r="B249" s="10"/>
      <c r="C249" s="16" t="str">
        <f aca="false">IF(B249="","",DATE(YEAR(B249),MONTH(B249),1))</f>
        <v/>
      </c>
      <c r="D249" s="6"/>
      <c r="E249" s="14" t="str">
        <f aca="false">IF(D249="","",IFERROR(INDEX(Pacientes!$Q:$Q,MATCH(D249,Pacientes!$A:$A,0))&amp;"","ID no existe"))</f>
        <v/>
      </c>
      <c r="F249" s="14" t="str">
        <f aca="false">IF(D249="","",IFERROR(INDEX(Pacientes!$D:$D,MATCH(D249,Pacientes!$A:$A,0))&amp;"","ID no existe"))</f>
        <v/>
      </c>
      <c r="G249" s="14" t="str">
        <f aca="false">IF(D249="","",IFERROR(INDEX(Pacientes!$E:$E,MATCH(D249,Pacientes!$A:$A,0))&amp;"","ID no existe"))</f>
        <v/>
      </c>
      <c r="H249" s="9"/>
      <c r="I249" s="6"/>
      <c r="J249" s="6"/>
      <c r="K249" s="6"/>
      <c r="L249" s="7"/>
      <c r="M249" s="7"/>
      <c r="N249" s="6"/>
      <c r="O249" s="6"/>
    </row>
    <row r="250" customFormat="false" ht="15" hidden="false" customHeight="false" outlineLevel="0" collapsed="false">
      <c r="A250" s="6"/>
      <c r="B250" s="10"/>
      <c r="C250" s="16" t="str">
        <f aca="false">IF(B250="","",DATE(YEAR(B250),MONTH(B250),1))</f>
        <v/>
      </c>
      <c r="D250" s="6"/>
      <c r="E250" s="14" t="str">
        <f aca="false">IF(D250="","",IFERROR(INDEX(Pacientes!$Q:$Q,MATCH(D250,Pacientes!$A:$A,0))&amp;"","ID no existe"))</f>
        <v/>
      </c>
      <c r="F250" s="14" t="str">
        <f aca="false">IF(D250="","",IFERROR(INDEX(Pacientes!$D:$D,MATCH(D250,Pacientes!$A:$A,0))&amp;"","ID no existe"))</f>
        <v/>
      </c>
      <c r="G250" s="14" t="str">
        <f aca="false">IF(D250="","",IFERROR(INDEX(Pacientes!$E:$E,MATCH(D250,Pacientes!$A:$A,0))&amp;"","ID no existe"))</f>
        <v/>
      </c>
      <c r="H250" s="9"/>
      <c r="I250" s="6"/>
      <c r="J250" s="6"/>
      <c r="K250" s="6"/>
      <c r="L250" s="7"/>
      <c r="M250" s="7"/>
      <c r="N250" s="6"/>
      <c r="O250" s="6"/>
    </row>
    <row r="251" customFormat="false" ht="15" hidden="false" customHeight="false" outlineLevel="0" collapsed="false">
      <c r="A251" s="6"/>
      <c r="B251" s="10"/>
      <c r="C251" s="16" t="str">
        <f aca="false">IF(B251="","",DATE(YEAR(B251),MONTH(B251),1))</f>
        <v/>
      </c>
      <c r="D251" s="6"/>
      <c r="E251" s="14" t="str">
        <f aca="false">IF(D251="","",IFERROR(INDEX(Pacientes!$Q:$Q,MATCH(D251,Pacientes!$A:$A,0))&amp;"","ID no existe"))</f>
        <v/>
      </c>
      <c r="F251" s="14" t="str">
        <f aca="false">IF(D251="","",IFERROR(INDEX(Pacientes!$D:$D,MATCH(D251,Pacientes!$A:$A,0))&amp;"","ID no existe"))</f>
        <v/>
      </c>
      <c r="G251" s="14" t="str">
        <f aca="false">IF(D251="","",IFERROR(INDEX(Pacientes!$E:$E,MATCH(D251,Pacientes!$A:$A,0))&amp;"","ID no existe"))</f>
        <v/>
      </c>
      <c r="H251" s="9"/>
      <c r="I251" s="6"/>
      <c r="J251" s="6"/>
      <c r="K251" s="6"/>
      <c r="L251" s="7"/>
      <c r="M251" s="7"/>
      <c r="N251" s="6"/>
      <c r="O251" s="6"/>
    </row>
    <row r="252" customFormat="false" ht="15" hidden="false" customHeight="false" outlineLevel="0" collapsed="false">
      <c r="A252" s="6"/>
      <c r="B252" s="10"/>
      <c r="C252" s="16" t="str">
        <f aca="false">IF(B252="","",DATE(YEAR(B252),MONTH(B252),1))</f>
        <v/>
      </c>
      <c r="D252" s="6"/>
      <c r="E252" s="14" t="str">
        <f aca="false">IF(D252="","",IFERROR(INDEX(Pacientes!$Q:$Q,MATCH(D252,Pacientes!$A:$A,0))&amp;"","ID no existe"))</f>
        <v/>
      </c>
      <c r="F252" s="14" t="str">
        <f aca="false">IF(D252="","",IFERROR(INDEX(Pacientes!$D:$D,MATCH(D252,Pacientes!$A:$A,0))&amp;"","ID no existe"))</f>
        <v/>
      </c>
      <c r="G252" s="14" t="str">
        <f aca="false">IF(D252="","",IFERROR(INDEX(Pacientes!$E:$E,MATCH(D252,Pacientes!$A:$A,0))&amp;"","ID no existe"))</f>
        <v/>
      </c>
      <c r="H252" s="9"/>
      <c r="I252" s="6"/>
      <c r="J252" s="6"/>
      <c r="K252" s="6"/>
      <c r="L252" s="7"/>
      <c r="M252" s="7"/>
      <c r="N252" s="6"/>
      <c r="O252" s="6"/>
    </row>
    <row r="253" customFormat="false" ht="15" hidden="false" customHeight="false" outlineLevel="0" collapsed="false">
      <c r="A253" s="6"/>
      <c r="B253" s="10"/>
      <c r="C253" s="16" t="str">
        <f aca="false">IF(B253="","",DATE(YEAR(B253),MONTH(B253),1))</f>
        <v/>
      </c>
      <c r="D253" s="6"/>
      <c r="E253" s="14" t="str">
        <f aca="false">IF(D253="","",IFERROR(INDEX(Pacientes!$Q:$Q,MATCH(D253,Pacientes!$A:$A,0))&amp;"","ID no existe"))</f>
        <v/>
      </c>
      <c r="F253" s="14" t="str">
        <f aca="false">IF(D253="","",IFERROR(INDEX(Pacientes!$D:$D,MATCH(D253,Pacientes!$A:$A,0))&amp;"","ID no existe"))</f>
        <v/>
      </c>
      <c r="G253" s="14" t="str">
        <f aca="false">IF(D253="","",IFERROR(INDEX(Pacientes!$E:$E,MATCH(D253,Pacientes!$A:$A,0))&amp;"","ID no existe"))</f>
        <v/>
      </c>
      <c r="H253" s="9"/>
      <c r="I253" s="6"/>
      <c r="J253" s="6"/>
      <c r="K253" s="6"/>
      <c r="L253" s="7"/>
      <c r="M253" s="7"/>
      <c r="N253" s="6"/>
      <c r="O253" s="6"/>
    </row>
    <row r="254" customFormat="false" ht="15" hidden="false" customHeight="false" outlineLevel="0" collapsed="false">
      <c r="A254" s="6"/>
      <c r="B254" s="10"/>
      <c r="C254" s="16" t="str">
        <f aca="false">IF(B254="","",DATE(YEAR(B254),MONTH(B254),1))</f>
        <v/>
      </c>
      <c r="D254" s="6"/>
      <c r="E254" s="14" t="str">
        <f aca="false">IF(D254="","",IFERROR(INDEX(Pacientes!$Q:$Q,MATCH(D254,Pacientes!$A:$A,0))&amp;"","ID no existe"))</f>
        <v/>
      </c>
      <c r="F254" s="14" t="str">
        <f aca="false">IF(D254="","",IFERROR(INDEX(Pacientes!$D:$D,MATCH(D254,Pacientes!$A:$A,0))&amp;"","ID no existe"))</f>
        <v/>
      </c>
      <c r="G254" s="14" t="str">
        <f aca="false">IF(D254="","",IFERROR(INDEX(Pacientes!$E:$E,MATCH(D254,Pacientes!$A:$A,0))&amp;"","ID no existe"))</f>
        <v/>
      </c>
      <c r="H254" s="9"/>
      <c r="I254" s="6"/>
      <c r="J254" s="6"/>
      <c r="K254" s="6"/>
      <c r="L254" s="7"/>
      <c r="M254" s="7"/>
      <c r="N254" s="6"/>
      <c r="O254" s="6"/>
    </row>
    <row r="255" customFormat="false" ht="15" hidden="false" customHeight="false" outlineLevel="0" collapsed="false">
      <c r="A255" s="6"/>
      <c r="B255" s="10"/>
      <c r="C255" s="16" t="str">
        <f aca="false">IF(B255="","",DATE(YEAR(B255),MONTH(B255),1))</f>
        <v/>
      </c>
      <c r="D255" s="6"/>
      <c r="E255" s="14" t="str">
        <f aca="false">IF(D255="","",IFERROR(INDEX(Pacientes!$Q:$Q,MATCH(D255,Pacientes!$A:$A,0))&amp;"","ID no existe"))</f>
        <v/>
      </c>
      <c r="F255" s="14" t="str">
        <f aca="false">IF(D255="","",IFERROR(INDEX(Pacientes!$D:$D,MATCH(D255,Pacientes!$A:$A,0))&amp;"","ID no existe"))</f>
        <v/>
      </c>
      <c r="G255" s="14" t="str">
        <f aca="false">IF(D255="","",IFERROR(INDEX(Pacientes!$E:$E,MATCH(D255,Pacientes!$A:$A,0))&amp;"","ID no existe"))</f>
        <v/>
      </c>
      <c r="H255" s="9"/>
      <c r="I255" s="6"/>
      <c r="J255" s="6"/>
      <c r="K255" s="6"/>
      <c r="L255" s="7"/>
      <c r="M255" s="7"/>
      <c r="N255" s="6"/>
      <c r="O255" s="6"/>
    </row>
    <row r="256" customFormat="false" ht="15" hidden="false" customHeight="false" outlineLevel="0" collapsed="false">
      <c r="A256" s="6"/>
      <c r="B256" s="10"/>
      <c r="C256" s="16" t="str">
        <f aca="false">IF(B256="","",DATE(YEAR(B256),MONTH(B256),1))</f>
        <v/>
      </c>
      <c r="D256" s="6"/>
      <c r="E256" s="14" t="str">
        <f aca="false">IF(D256="","",IFERROR(INDEX(Pacientes!$Q:$Q,MATCH(D256,Pacientes!$A:$A,0))&amp;"","ID no existe"))</f>
        <v/>
      </c>
      <c r="F256" s="14" t="str">
        <f aca="false">IF(D256="","",IFERROR(INDEX(Pacientes!$D:$D,MATCH(D256,Pacientes!$A:$A,0))&amp;"","ID no existe"))</f>
        <v/>
      </c>
      <c r="G256" s="14" t="str">
        <f aca="false">IF(D256="","",IFERROR(INDEX(Pacientes!$E:$E,MATCH(D256,Pacientes!$A:$A,0))&amp;"","ID no existe"))</f>
        <v/>
      </c>
      <c r="H256" s="9"/>
      <c r="I256" s="6"/>
      <c r="J256" s="6"/>
      <c r="K256" s="6"/>
      <c r="L256" s="7"/>
      <c r="M256" s="7"/>
      <c r="N256" s="6"/>
      <c r="O256" s="6"/>
    </row>
    <row r="257" customFormat="false" ht="15" hidden="false" customHeight="false" outlineLevel="0" collapsed="false">
      <c r="A257" s="6"/>
      <c r="B257" s="10"/>
      <c r="C257" s="16" t="str">
        <f aca="false">IF(B257="","",DATE(YEAR(B257),MONTH(B257),1))</f>
        <v/>
      </c>
      <c r="D257" s="6"/>
      <c r="E257" s="14" t="str">
        <f aca="false">IF(D257="","",IFERROR(INDEX(Pacientes!$Q:$Q,MATCH(D257,Pacientes!$A:$A,0))&amp;"","ID no existe"))</f>
        <v/>
      </c>
      <c r="F257" s="14" t="str">
        <f aca="false">IF(D257="","",IFERROR(INDEX(Pacientes!$D:$D,MATCH(D257,Pacientes!$A:$A,0))&amp;"","ID no existe"))</f>
        <v/>
      </c>
      <c r="G257" s="14" t="str">
        <f aca="false">IF(D257="","",IFERROR(INDEX(Pacientes!$E:$E,MATCH(D257,Pacientes!$A:$A,0))&amp;"","ID no existe"))</f>
        <v/>
      </c>
      <c r="H257" s="9"/>
      <c r="I257" s="6"/>
      <c r="J257" s="6"/>
      <c r="K257" s="6"/>
      <c r="L257" s="7"/>
      <c r="M257" s="7"/>
      <c r="N257" s="6"/>
      <c r="O257" s="6"/>
    </row>
    <row r="258" customFormat="false" ht="15" hidden="false" customHeight="false" outlineLevel="0" collapsed="false">
      <c r="A258" s="6"/>
      <c r="B258" s="10"/>
      <c r="C258" s="16" t="str">
        <f aca="false">IF(B258="","",DATE(YEAR(B258),MONTH(B258),1))</f>
        <v/>
      </c>
      <c r="D258" s="6"/>
      <c r="E258" s="14" t="str">
        <f aca="false">IF(D258="","",IFERROR(INDEX(Pacientes!$Q:$Q,MATCH(D258,Pacientes!$A:$A,0))&amp;"","ID no existe"))</f>
        <v/>
      </c>
      <c r="F258" s="14" t="str">
        <f aca="false">IF(D258="","",IFERROR(INDEX(Pacientes!$D:$D,MATCH(D258,Pacientes!$A:$A,0))&amp;"","ID no existe"))</f>
        <v/>
      </c>
      <c r="G258" s="14" t="str">
        <f aca="false">IF(D258="","",IFERROR(INDEX(Pacientes!$E:$E,MATCH(D258,Pacientes!$A:$A,0))&amp;"","ID no existe"))</f>
        <v/>
      </c>
      <c r="H258" s="9"/>
      <c r="I258" s="6"/>
      <c r="J258" s="6"/>
      <c r="K258" s="6"/>
      <c r="L258" s="7"/>
      <c r="M258" s="7"/>
      <c r="N258" s="6"/>
      <c r="O258" s="6"/>
    </row>
    <row r="259" customFormat="false" ht="15" hidden="false" customHeight="false" outlineLevel="0" collapsed="false">
      <c r="A259" s="6"/>
      <c r="B259" s="10"/>
      <c r="C259" s="16" t="str">
        <f aca="false">IF(B259="","",DATE(YEAR(B259),MONTH(B259),1))</f>
        <v/>
      </c>
      <c r="D259" s="6"/>
      <c r="E259" s="14" t="str">
        <f aca="false">IF(D259="","",IFERROR(INDEX(Pacientes!$Q:$Q,MATCH(D259,Pacientes!$A:$A,0))&amp;"","ID no existe"))</f>
        <v/>
      </c>
      <c r="F259" s="14" t="str">
        <f aca="false">IF(D259="","",IFERROR(INDEX(Pacientes!$D:$D,MATCH(D259,Pacientes!$A:$A,0))&amp;"","ID no existe"))</f>
        <v/>
      </c>
      <c r="G259" s="14" t="str">
        <f aca="false">IF(D259="","",IFERROR(INDEX(Pacientes!$E:$E,MATCH(D259,Pacientes!$A:$A,0))&amp;"","ID no existe"))</f>
        <v/>
      </c>
      <c r="H259" s="9"/>
      <c r="I259" s="6"/>
      <c r="J259" s="6"/>
      <c r="K259" s="6"/>
      <c r="L259" s="7"/>
      <c r="M259" s="7"/>
      <c r="N259" s="6"/>
      <c r="O259" s="6"/>
    </row>
    <row r="260" customFormat="false" ht="15" hidden="false" customHeight="false" outlineLevel="0" collapsed="false">
      <c r="A260" s="6"/>
      <c r="B260" s="10"/>
      <c r="C260" s="16" t="str">
        <f aca="false">IF(B260="","",DATE(YEAR(B260),MONTH(B260),1))</f>
        <v/>
      </c>
      <c r="D260" s="6"/>
      <c r="E260" s="14" t="str">
        <f aca="false">IF(D260="","",IFERROR(INDEX(Pacientes!$Q:$Q,MATCH(D260,Pacientes!$A:$A,0))&amp;"","ID no existe"))</f>
        <v/>
      </c>
      <c r="F260" s="14" t="str">
        <f aca="false">IF(D260="","",IFERROR(INDEX(Pacientes!$D:$D,MATCH(D260,Pacientes!$A:$A,0))&amp;"","ID no existe"))</f>
        <v/>
      </c>
      <c r="G260" s="14" t="str">
        <f aca="false">IF(D260="","",IFERROR(INDEX(Pacientes!$E:$E,MATCH(D260,Pacientes!$A:$A,0))&amp;"","ID no existe"))</f>
        <v/>
      </c>
      <c r="H260" s="9"/>
      <c r="I260" s="6"/>
      <c r="J260" s="6"/>
      <c r="K260" s="6"/>
      <c r="L260" s="7"/>
      <c r="M260" s="7"/>
      <c r="N260" s="6"/>
      <c r="O260" s="6"/>
    </row>
    <row r="261" customFormat="false" ht="15" hidden="false" customHeight="false" outlineLevel="0" collapsed="false">
      <c r="A261" s="6"/>
      <c r="B261" s="10"/>
      <c r="C261" s="16" t="str">
        <f aca="false">IF(B261="","",DATE(YEAR(B261),MONTH(B261),1))</f>
        <v/>
      </c>
      <c r="D261" s="6"/>
      <c r="E261" s="14" t="str">
        <f aca="false">IF(D261="","",IFERROR(INDEX(Pacientes!$Q:$Q,MATCH(D261,Pacientes!$A:$A,0))&amp;"","ID no existe"))</f>
        <v/>
      </c>
      <c r="F261" s="14" t="str">
        <f aca="false">IF(D261="","",IFERROR(INDEX(Pacientes!$D:$D,MATCH(D261,Pacientes!$A:$A,0))&amp;"","ID no existe"))</f>
        <v/>
      </c>
      <c r="G261" s="14" t="str">
        <f aca="false">IF(D261="","",IFERROR(INDEX(Pacientes!$E:$E,MATCH(D261,Pacientes!$A:$A,0))&amp;"","ID no existe"))</f>
        <v/>
      </c>
      <c r="H261" s="9"/>
      <c r="I261" s="6"/>
      <c r="J261" s="6"/>
      <c r="K261" s="6"/>
      <c r="L261" s="7"/>
      <c r="M261" s="7"/>
      <c r="N261" s="6"/>
      <c r="O261" s="6"/>
    </row>
    <row r="262" customFormat="false" ht="15" hidden="false" customHeight="false" outlineLevel="0" collapsed="false">
      <c r="A262" s="6"/>
      <c r="B262" s="10"/>
      <c r="C262" s="16" t="str">
        <f aca="false">IF(B262="","",DATE(YEAR(B262),MONTH(B262),1))</f>
        <v/>
      </c>
      <c r="D262" s="6"/>
      <c r="E262" s="14" t="str">
        <f aca="false">IF(D262="","",IFERROR(INDEX(Pacientes!$Q:$Q,MATCH(D262,Pacientes!$A:$A,0))&amp;"","ID no existe"))</f>
        <v/>
      </c>
      <c r="F262" s="14" t="str">
        <f aca="false">IF(D262="","",IFERROR(INDEX(Pacientes!$D:$D,MATCH(D262,Pacientes!$A:$A,0))&amp;"","ID no existe"))</f>
        <v/>
      </c>
      <c r="G262" s="14" t="str">
        <f aca="false">IF(D262="","",IFERROR(INDEX(Pacientes!$E:$E,MATCH(D262,Pacientes!$A:$A,0))&amp;"","ID no existe"))</f>
        <v/>
      </c>
      <c r="H262" s="9"/>
      <c r="I262" s="6"/>
      <c r="J262" s="6"/>
      <c r="K262" s="6"/>
      <c r="L262" s="7"/>
      <c r="M262" s="7"/>
      <c r="N262" s="6"/>
      <c r="O262" s="6"/>
    </row>
    <row r="263" customFormat="false" ht="15" hidden="false" customHeight="false" outlineLevel="0" collapsed="false">
      <c r="A263" s="6"/>
      <c r="B263" s="10"/>
      <c r="C263" s="16" t="str">
        <f aca="false">IF(B263="","",DATE(YEAR(B263),MONTH(B263),1))</f>
        <v/>
      </c>
      <c r="D263" s="6"/>
      <c r="E263" s="14" t="str">
        <f aca="false">IF(D263="","",IFERROR(INDEX(Pacientes!$Q:$Q,MATCH(D263,Pacientes!$A:$A,0))&amp;"","ID no existe"))</f>
        <v/>
      </c>
      <c r="F263" s="14" t="str">
        <f aca="false">IF(D263="","",IFERROR(INDEX(Pacientes!$D:$D,MATCH(D263,Pacientes!$A:$A,0))&amp;"","ID no existe"))</f>
        <v/>
      </c>
      <c r="G263" s="14" t="str">
        <f aca="false">IF(D263="","",IFERROR(INDEX(Pacientes!$E:$E,MATCH(D263,Pacientes!$A:$A,0))&amp;"","ID no existe"))</f>
        <v/>
      </c>
      <c r="H263" s="9"/>
      <c r="I263" s="6"/>
      <c r="J263" s="6"/>
      <c r="K263" s="6"/>
      <c r="L263" s="7"/>
      <c r="M263" s="7"/>
      <c r="N263" s="6"/>
      <c r="O263" s="6"/>
    </row>
    <row r="264" customFormat="false" ht="15" hidden="false" customHeight="false" outlineLevel="0" collapsed="false">
      <c r="A264" s="6"/>
      <c r="B264" s="10"/>
      <c r="C264" s="16" t="str">
        <f aca="false">IF(B264="","",DATE(YEAR(B264),MONTH(B264),1))</f>
        <v/>
      </c>
      <c r="D264" s="6"/>
      <c r="E264" s="14" t="str">
        <f aca="false">IF(D264="","",IFERROR(INDEX(Pacientes!$Q:$Q,MATCH(D264,Pacientes!$A:$A,0))&amp;"","ID no existe"))</f>
        <v/>
      </c>
      <c r="F264" s="14" t="str">
        <f aca="false">IF(D264="","",IFERROR(INDEX(Pacientes!$D:$D,MATCH(D264,Pacientes!$A:$A,0))&amp;"","ID no existe"))</f>
        <v/>
      </c>
      <c r="G264" s="14" t="str">
        <f aca="false">IF(D264="","",IFERROR(INDEX(Pacientes!$E:$E,MATCH(D264,Pacientes!$A:$A,0))&amp;"","ID no existe"))</f>
        <v/>
      </c>
      <c r="H264" s="9"/>
      <c r="I264" s="6"/>
      <c r="J264" s="6"/>
      <c r="K264" s="6"/>
      <c r="L264" s="7"/>
      <c r="M264" s="7"/>
      <c r="N264" s="6"/>
      <c r="O264" s="6"/>
    </row>
    <row r="265" customFormat="false" ht="15" hidden="false" customHeight="false" outlineLevel="0" collapsed="false">
      <c r="A265" s="6"/>
      <c r="B265" s="10"/>
      <c r="C265" s="16" t="str">
        <f aca="false">IF(B265="","",DATE(YEAR(B265),MONTH(B265),1))</f>
        <v/>
      </c>
      <c r="D265" s="6"/>
      <c r="E265" s="14" t="str">
        <f aca="false">IF(D265="","",IFERROR(INDEX(Pacientes!$Q:$Q,MATCH(D265,Pacientes!$A:$A,0))&amp;"","ID no existe"))</f>
        <v/>
      </c>
      <c r="F265" s="14" t="str">
        <f aca="false">IF(D265="","",IFERROR(INDEX(Pacientes!$D:$D,MATCH(D265,Pacientes!$A:$A,0))&amp;"","ID no existe"))</f>
        <v/>
      </c>
      <c r="G265" s="14" t="str">
        <f aca="false">IF(D265="","",IFERROR(INDEX(Pacientes!$E:$E,MATCH(D265,Pacientes!$A:$A,0))&amp;"","ID no existe"))</f>
        <v/>
      </c>
      <c r="H265" s="9"/>
      <c r="I265" s="6"/>
      <c r="J265" s="6"/>
      <c r="K265" s="6"/>
      <c r="L265" s="7"/>
      <c r="M265" s="7"/>
      <c r="N265" s="6"/>
      <c r="O265" s="6"/>
    </row>
    <row r="266" customFormat="false" ht="15" hidden="false" customHeight="false" outlineLevel="0" collapsed="false">
      <c r="A266" s="6"/>
      <c r="B266" s="10"/>
      <c r="C266" s="16" t="str">
        <f aca="false">IF(B266="","",DATE(YEAR(B266),MONTH(B266),1))</f>
        <v/>
      </c>
      <c r="D266" s="6"/>
      <c r="E266" s="14" t="str">
        <f aca="false">IF(D266="","",IFERROR(INDEX(Pacientes!$Q:$Q,MATCH(D266,Pacientes!$A:$A,0))&amp;"","ID no existe"))</f>
        <v/>
      </c>
      <c r="F266" s="14" t="str">
        <f aca="false">IF(D266="","",IFERROR(INDEX(Pacientes!$D:$D,MATCH(D266,Pacientes!$A:$A,0))&amp;"","ID no existe"))</f>
        <v/>
      </c>
      <c r="G266" s="14" t="str">
        <f aca="false">IF(D266="","",IFERROR(INDEX(Pacientes!$E:$E,MATCH(D266,Pacientes!$A:$A,0))&amp;"","ID no existe"))</f>
        <v/>
      </c>
      <c r="H266" s="9"/>
      <c r="I266" s="6"/>
      <c r="J266" s="6"/>
      <c r="K266" s="6"/>
      <c r="L266" s="7"/>
      <c r="M266" s="7"/>
      <c r="N266" s="6"/>
      <c r="O266" s="6"/>
    </row>
    <row r="267" customFormat="false" ht="15" hidden="false" customHeight="false" outlineLevel="0" collapsed="false">
      <c r="A267" s="6"/>
      <c r="B267" s="10"/>
      <c r="C267" s="16" t="str">
        <f aca="false">IF(B267="","",DATE(YEAR(B267),MONTH(B267),1))</f>
        <v/>
      </c>
      <c r="D267" s="6"/>
      <c r="E267" s="14" t="str">
        <f aca="false">IF(D267="","",IFERROR(INDEX(Pacientes!$Q:$Q,MATCH(D267,Pacientes!$A:$A,0))&amp;"","ID no existe"))</f>
        <v/>
      </c>
      <c r="F267" s="14" t="str">
        <f aca="false">IF(D267="","",IFERROR(INDEX(Pacientes!$D:$D,MATCH(D267,Pacientes!$A:$A,0))&amp;"","ID no existe"))</f>
        <v/>
      </c>
      <c r="G267" s="14" t="str">
        <f aca="false">IF(D267="","",IFERROR(INDEX(Pacientes!$E:$E,MATCH(D267,Pacientes!$A:$A,0))&amp;"","ID no existe"))</f>
        <v/>
      </c>
      <c r="H267" s="9"/>
      <c r="I267" s="6"/>
      <c r="J267" s="6"/>
      <c r="K267" s="6"/>
      <c r="L267" s="7"/>
      <c r="M267" s="7"/>
      <c r="N267" s="6"/>
      <c r="O267" s="6"/>
    </row>
    <row r="268" customFormat="false" ht="15" hidden="false" customHeight="false" outlineLevel="0" collapsed="false">
      <c r="A268" s="6"/>
      <c r="B268" s="10"/>
      <c r="C268" s="16" t="str">
        <f aca="false">IF(B268="","",DATE(YEAR(B268),MONTH(B268),1))</f>
        <v/>
      </c>
      <c r="D268" s="6"/>
      <c r="E268" s="14" t="str">
        <f aca="false">IF(D268="","",IFERROR(INDEX(Pacientes!$Q:$Q,MATCH(D268,Pacientes!$A:$A,0))&amp;"","ID no existe"))</f>
        <v/>
      </c>
      <c r="F268" s="14" t="str">
        <f aca="false">IF(D268="","",IFERROR(INDEX(Pacientes!$D:$D,MATCH(D268,Pacientes!$A:$A,0))&amp;"","ID no existe"))</f>
        <v/>
      </c>
      <c r="G268" s="14" t="str">
        <f aca="false">IF(D268="","",IFERROR(INDEX(Pacientes!$E:$E,MATCH(D268,Pacientes!$A:$A,0))&amp;"","ID no existe"))</f>
        <v/>
      </c>
      <c r="H268" s="9"/>
      <c r="I268" s="6"/>
      <c r="J268" s="6"/>
      <c r="K268" s="6"/>
      <c r="L268" s="7"/>
      <c r="M268" s="7"/>
      <c r="N268" s="6"/>
      <c r="O268" s="6"/>
    </row>
    <row r="269" customFormat="false" ht="15" hidden="false" customHeight="false" outlineLevel="0" collapsed="false">
      <c r="A269" s="6"/>
      <c r="B269" s="10"/>
      <c r="C269" s="16" t="str">
        <f aca="false">IF(B269="","",DATE(YEAR(B269),MONTH(B269),1))</f>
        <v/>
      </c>
      <c r="D269" s="6"/>
      <c r="E269" s="14" t="str">
        <f aca="false">IF(D269="","",IFERROR(INDEX(Pacientes!$Q:$Q,MATCH(D269,Pacientes!$A:$A,0))&amp;"","ID no existe"))</f>
        <v/>
      </c>
      <c r="F269" s="14" t="str">
        <f aca="false">IF(D269="","",IFERROR(INDEX(Pacientes!$D:$D,MATCH(D269,Pacientes!$A:$A,0))&amp;"","ID no existe"))</f>
        <v/>
      </c>
      <c r="G269" s="14" t="str">
        <f aca="false">IF(D269="","",IFERROR(INDEX(Pacientes!$E:$E,MATCH(D269,Pacientes!$A:$A,0))&amp;"","ID no existe"))</f>
        <v/>
      </c>
      <c r="H269" s="9"/>
      <c r="I269" s="6"/>
      <c r="J269" s="6"/>
      <c r="K269" s="6"/>
      <c r="L269" s="7"/>
      <c r="M269" s="7"/>
      <c r="N269" s="6"/>
      <c r="O269" s="6"/>
    </row>
    <row r="270" customFormat="false" ht="15" hidden="false" customHeight="false" outlineLevel="0" collapsed="false">
      <c r="A270" s="6"/>
      <c r="B270" s="10"/>
      <c r="C270" s="16" t="str">
        <f aca="false">IF(B270="","",DATE(YEAR(B270),MONTH(B270),1))</f>
        <v/>
      </c>
      <c r="D270" s="6"/>
      <c r="E270" s="14" t="str">
        <f aca="false">IF(D270="","",IFERROR(INDEX(Pacientes!$Q:$Q,MATCH(D270,Pacientes!$A:$A,0))&amp;"","ID no existe"))</f>
        <v/>
      </c>
      <c r="F270" s="14" t="str">
        <f aca="false">IF(D270="","",IFERROR(INDEX(Pacientes!$D:$D,MATCH(D270,Pacientes!$A:$A,0))&amp;"","ID no existe"))</f>
        <v/>
      </c>
      <c r="G270" s="14" t="str">
        <f aca="false">IF(D270="","",IFERROR(INDEX(Pacientes!$E:$E,MATCH(D270,Pacientes!$A:$A,0))&amp;"","ID no existe"))</f>
        <v/>
      </c>
      <c r="H270" s="9"/>
      <c r="I270" s="6"/>
      <c r="J270" s="6"/>
      <c r="K270" s="6"/>
      <c r="L270" s="7"/>
      <c r="M270" s="7"/>
      <c r="N270" s="6"/>
      <c r="O270" s="6"/>
    </row>
    <row r="271" customFormat="false" ht="15" hidden="false" customHeight="false" outlineLevel="0" collapsed="false">
      <c r="A271" s="6"/>
      <c r="B271" s="10"/>
      <c r="C271" s="16" t="str">
        <f aca="false">IF(B271="","",DATE(YEAR(B271),MONTH(B271),1))</f>
        <v/>
      </c>
      <c r="D271" s="6"/>
      <c r="E271" s="14" t="str">
        <f aca="false">IF(D271="","",IFERROR(INDEX(Pacientes!$Q:$Q,MATCH(D271,Pacientes!$A:$A,0))&amp;"","ID no existe"))</f>
        <v/>
      </c>
      <c r="F271" s="14" t="str">
        <f aca="false">IF(D271="","",IFERROR(INDEX(Pacientes!$D:$D,MATCH(D271,Pacientes!$A:$A,0))&amp;"","ID no existe"))</f>
        <v/>
      </c>
      <c r="G271" s="14" t="str">
        <f aca="false">IF(D271="","",IFERROR(INDEX(Pacientes!$E:$E,MATCH(D271,Pacientes!$A:$A,0))&amp;"","ID no existe"))</f>
        <v/>
      </c>
      <c r="H271" s="9"/>
      <c r="I271" s="6"/>
      <c r="J271" s="6"/>
      <c r="K271" s="6"/>
      <c r="L271" s="7"/>
      <c r="M271" s="7"/>
      <c r="N271" s="6"/>
      <c r="O271" s="6"/>
    </row>
    <row r="272" customFormat="false" ht="15" hidden="false" customHeight="false" outlineLevel="0" collapsed="false">
      <c r="A272" s="6"/>
      <c r="B272" s="10"/>
      <c r="C272" s="16" t="str">
        <f aca="false">IF(B272="","",DATE(YEAR(B272),MONTH(B272),1))</f>
        <v/>
      </c>
      <c r="D272" s="6"/>
      <c r="E272" s="14" t="str">
        <f aca="false">IF(D272="","",IFERROR(INDEX(Pacientes!$Q:$Q,MATCH(D272,Pacientes!$A:$A,0))&amp;"","ID no existe"))</f>
        <v/>
      </c>
      <c r="F272" s="14" t="str">
        <f aca="false">IF(D272="","",IFERROR(INDEX(Pacientes!$D:$D,MATCH(D272,Pacientes!$A:$A,0))&amp;"","ID no existe"))</f>
        <v/>
      </c>
      <c r="G272" s="14" t="str">
        <f aca="false">IF(D272="","",IFERROR(INDEX(Pacientes!$E:$E,MATCH(D272,Pacientes!$A:$A,0))&amp;"","ID no existe"))</f>
        <v/>
      </c>
      <c r="H272" s="9"/>
      <c r="I272" s="6"/>
      <c r="J272" s="6"/>
      <c r="K272" s="6"/>
      <c r="L272" s="7"/>
      <c r="M272" s="7"/>
      <c r="N272" s="6"/>
      <c r="O272" s="6"/>
    </row>
    <row r="273" customFormat="false" ht="15" hidden="false" customHeight="false" outlineLevel="0" collapsed="false">
      <c r="A273" s="6"/>
      <c r="B273" s="10"/>
      <c r="C273" s="16" t="str">
        <f aca="false">IF(B273="","",DATE(YEAR(B273),MONTH(B273),1))</f>
        <v/>
      </c>
      <c r="D273" s="6"/>
      <c r="E273" s="14" t="str">
        <f aca="false">IF(D273="","",IFERROR(INDEX(Pacientes!$Q:$Q,MATCH(D273,Pacientes!$A:$A,0))&amp;"","ID no existe"))</f>
        <v/>
      </c>
      <c r="F273" s="14" t="str">
        <f aca="false">IF(D273="","",IFERROR(INDEX(Pacientes!$D:$D,MATCH(D273,Pacientes!$A:$A,0))&amp;"","ID no existe"))</f>
        <v/>
      </c>
      <c r="G273" s="14" t="str">
        <f aca="false">IF(D273="","",IFERROR(INDEX(Pacientes!$E:$E,MATCH(D273,Pacientes!$A:$A,0))&amp;"","ID no existe"))</f>
        <v/>
      </c>
      <c r="H273" s="9"/>
      <c r="I273" s="6"/>
      <c r="J273" s="6"/>
      <c r="K273" s="6"/>
      <c r="L273" s="7"/>
      <c r="M273" s="7"/>
      <c r="N273" s="6"/>
      <c r="O273" s="6"/>
    </row>
    <row r="274" customFormat="false" ht="15" hidden="false" customHeight="false" outlineLevel="0" collapsed="false">
      <c r="A274" s="6"/>
      <c r="B274" s="10"/>
      <c r="C274" s="16" t="str">
        <f aca="false">IF(B274="","",DATE(YEAR(B274),MONTH(B274),1))</f>
        <v/>
      </c>
      <c r="D274" s="6"/>
      <c r="E274" s="14" t="str">
        <f aca="false">IF(D274="","",IFERROR(INDEX(Pacientes!$Q:$Q,MATCH(D274,Pacientes!$A:$A,0))&amp;"","ID no existe"))</f>
        <v/>
      </c>
      <c r="F274" s="14" t="str">
        <f aca="false">IF(D274="","",IFERROR(INDEX(Pacientes!$D:$D,MATCH(D274,Pacientes!$A:$A,0))&amp;"","ID no existe"))</f>
        <v/>
      </c>
      <c r="G274" s="14" t="str">
        <f aca="false">IF(D274="","",IFERROR(INDEX(Pacientes!$E:$E,MATCH(D274,Pacientes!$A:$A,0))&amp;"","ID no existe"))</f>
        <v/>
      </c>
      <c r="H274" s="9"/>
      <c r="I274" s="6"/>
      <c r="J274" s="6"/>
      <c r="K274" s="6"/>
      <c r="L274" s="7"/>
      <c r="M274" s="7"/>
      <c r="N274" s="6"/>
      <c r="O274" s="6"/>
    </row>
    <row r="275" customFormat="false" ht="15" hidden="false" customHeight="false" outlineLevel="0" collapsed="false">
      <c r="A275" s="6"/>
      <c r="B275" s="10"/>
      <c r="C275" s="16" t="str">
        <f aca="false">IF(B275="","",DATE(YEAR(B275),MONTH(B275),1))</f>
        <v/>
      </c>
      <c r="D275" s="6"/>
      <c r="E275" s="14" t="str">
        <f aca="false">IF(D275="","",IFERROR(INDEX(Pacientes!$Q:$Q,MATCH(D275,Pacientes!$A:$A,0))&amp;"","ID no existe"))</f>
        <v/>
      </c>
      <c r="F275" s="14" t="str">
        <f aca="false">IF(D275="","",IFERROR(INDEX(Pacientes!$D:$D,MATCH(D275,Pacientes!$A:$A,0))&amp;"","ID no existe"))</f>
        <v/>
      </c>
      <c r="G275" s="14" t="str">
        <f aca="false">IF(D275="","",IFERROR(INDEX(Pacientes!$E:$E,MATCH(D275,Pacientes!$A:$A,0))&amp;"","ID no existe"))</f>
        <v/>
      </c>
      <c r="H275" s="9"/>
      <c r="I275" s="6"/>
      <c r="J275" s="6"/>
      <c r="K275" s="6"/>
      <c r="L275" s="7"/>
      <c r="M275" s="7"/>
      <c r="N275" s="6"/>
      <c r="O275" s="6"/>
    </row>
    <row r="276" customFormat="false" ht="15" hidden="false" customHeight="false" outlineLevel="0" collapsed="false">
      <c r="A276" s="6"/>
      <c r="B276" s="10"/>
      <c r="C276" s="16" t="str">
        <f aca="false">IF(B276="","",DATE(YEAR(B276),MONTH(B276),1))</f>
        <v/>
      </c>
      <c r="D276" s="6"/>
      <c r="E276" s="14" t="str">
        <f aca="false">IF(D276="","",IFERROR(INDEX(Pacientes!$Q:$Q,MATCH(D276,Pacientes!$A:$A,0))&amp;"","ID no existe"))</f>
        <v/>
      </c>
      <c r="F276" s="14" t="str">
        <f aca="false">IF(D276="","",IFERROR(INDEX(Pacientes!$D:$D,MATCH(D276,Pacientes!$A:$A,0))&amp;"","ID no existe"))</f>
        <v/>
      </c>
      <c r="G276" s="14" t="str">
        <f aca="false">IF(D276="","",IFERROR(INDEX(Pacientes!$E:$E,MATCH(D276,Pacientes!$A:$A,0))&amp;"","ID no existe"))</f>
        <v/>
      </c>
      <c r="H276" s="9"/>
      <c r="I276" s="6"/>
      <c r="J276" s="6"/>
      <c r="K276" s="6"/>
      <c r="L276" s="7"/>
      <c r="M276" s="7"/>
      <c r="N276" s="6"/>
      <c r="O276" s="6"/>
    </row>
    <row r="277" customFormat="false" ht="15" hidden="false" customHeight="false" outlineLevel="0" collapsed="false">
      <c r="A277" s="6"/>
      <c r="B277" s="10"/>
      <c r="C277" s="16" t="str">
        <f aca="false">IF(B277="","",DATE(YEAR(B277),MONTH(B277),1))</f>
        <v/>
      </c>
      <c r="D277" s="6"/>
      <c r="E277" s="14" t="str">
        <f aca="false">IF(D277="","",IFERROR(INDEX(Pacientes!$Q:$Q,MATCH(D277,Pacientes!$A:$A,0))&amp;"","ID no existe"))</f>
        <v/>
      </c>
      <c r="F277" s="14" t="str">
        <f aca="false">IF(D277="","",IFERROR(INDEX(Pacientes!$D:$D,MATCH(D277,Pacientes!$A:$A,0))&amp;"","ID no existe"))</f>
        <v/>
      </c>
      <c r="G277" s="14" t="str">
        <f aca="false">IF(D277="","",IFERROR(INDEX(Pacientes!$E:$E,MATCH(D277,Pacientes!$A:$A,0))&amp;"","ID no existe"))</f>
        <v/>
      </c>
      <c r="H277" s="9"/>
      <c r="I277" s="6"/>
      <c r="J277" s="6"/>
      <c r="K277" s="6"/>
      <c r="L277" s="7"/>
      <c r="M277" s="7"/>
      <c r="N277" s="6"/>
      <c r="O277" s="6"/>
    </row>
    <row r="278" customFormat="false" ht="15" hidden="false" customHeight="false" outlineLevel="0" collapsed="false">
      <c r="A278" s="6"/>
      <c r="B278" s="10"/>
      <c r="C278" s="16" t="str">
        <f aca="false">IF(B278="","",DATE(YEAR(B278),MONTH(B278),1))</f>
        <v/>
      </c>
      <c r="D278" s="6"/>
      <c r="E278" s="14" t="str">
        <f aca="false">IF(D278="","",IFERROR(INDEX(Pacientes!$Q:$Q,MATCH(D278,Pacientes!$A:$A,0))&amp;"","ID no existe"))</f>
        <v/>
      </c>
      <c r="F278" s="14" t="str">
        <f aca="false">IF(D278="","",IFERROR(INDEX(Pacientes!$D:$D,MATCH(D278,Pacientes!$A:$A,0))&amp;"","ID no existe"))</f>
        <v/>
      </c>
      <c r="G278" s="14" t="str">
        <f aca="false">IF(D278="","",IFERROR(INDEX(Pacientes!$E:$E,MATCH(D278,Pacientes!$A:$A,0))&amp;"","ID no existe"))</f>
        <v/>
      </c>
      <c r="H278" s="9"/>
      <c r="I278" s="6"/>
      <c r="J278" s="6"/>
      <c r="K278" s="6"/>
      <c r="L278" s="7"/>
      <c r="M278" s="7"/>
      <c r="N278" s="6"/>
      <c r="O278" s="6"/>
    </row>
    <row r="279" customFormat="false" ht="15" hidden="false" customHeight="false" outlineLevel="0" collapsed="false">
      <c r="A279" s="6"/>
      <c r="B279" s="10"/>
      <c r="C279" s="16" t="str">
        <f aca="false">IF(B279="","",DATE(YEAR(B279),MONTH(B279),1))</f>
        <v/>
      </c>
      <c r="D279" s="6"/>
      <c r="E279" s="14" t="str">
        <f aca="false">IF(D279="","",IFERROR(INDEX(Pacientes!$Q:$Q,MATCH(D279,Pacientes!$A:$A,0))&amp;"","ID no existe"))</f>
        <v/>
      </c>
      <c r="F279" s="14" t="str">
        <f aca="false">IF(D279="","",IFERROR(INDEX(Pacientes!$D:$D,MATCH(D279,Pacientes!$A:$A,0))&amp;"","ID no existe"))</f>
        <v/>
      </c>
      <c r="G279" s="14" t="str">
        <f aca="false">IF(D279="","",IFERROR(INDEX(Pacientes!$E:$E,MATCH(D279,Pacientes!$A:$A,0))&amp;"","ID no existe"))</f>
        <v/>
      </c>
      <c r="H279" s="9"/>
      <c r="I279" s="6"/>
      <c r="J279" s="6"/>
      <c r="K279" s="6"/>
      <c r="L279" s="7"/>
      <c r="M279" s="7"/>
      <c r="N279" s="6"/>
      <c r="O279" s="6"/>
    </row>
    <row r="280" customFormat="false" ht="15" hidden="false" customHeight="false" outlineLevel="0" collapsed="false">
      <c r="A280" s="6"/>
      <c r="B280" s="10"/>
      <c r="C280" s="16" t="str">
        <f aca="false">IF(B280="","",DATE(YEAR(B280),MONTH(B280),1))</f>
        <v/>
      </c>
      <c r="D280" s="6"/>
      <c r="E280" s="14" t="str">
        <f aca="false">IF(D280="","",IFERROR(INDEX(Pacientes!$Q:$Q,MATCH(D280,Pacientes!$A:$A,0))&amp;"","ID no existe"))</f>
        <v/>
      </c>
      <c r="F280" s="14" t="str">
        <f aca="false">IF(D280="","",IFERROR(INDEX(Pacientes!$D:$D,MATCH(D280,Pacientes!$A:$A,0))&amp;"","ID no existe"))</f>
        <v/>
      </c>
      <c r="G280" s="14" t="str">
        <f aca="false">IF(D280="","",IFERROR(INDEX(Pacientes!$E:$E,MATCH(D280,Pacientes!$A:$A,0))&amp;"","ID no existe"))</f>
        <v/>
      </c>
      <c r="H280" s="9"/>
      <c r="I280" s="6"/>
      <c r="J280" s="6"/>
      <c r="K280" s="6"/>
      <c r="L280" s="7"/>
      <c r="M280" s="7"/>
      <c r="N280" s="6"/>
      <c r="O280" s="6"/>
    </row>
    <row r="281" customFormat="false" ht="15" hidden="false" customHeight="false" outlineLevel="0" collapsed="false">
      <c r="A281" s="6"/>
      <c r="B281" s="10"/>
      <c r="C281" s="16" t="str">
        <f aca="false">IF(B281="","",DATE(YEAR(B281),MONTH(B281),1))</f>
        <v/>
      </c>
      <c r="D281" s="6"/>
      <c r="E281" s="14" t="str">
        <f aca="false">IF(D281="","",IFERROR(INDEX(Pacientes!$Q:$Q,MATCH(D281,Pacientes!$A:$A,0))&amp;"","ID no existe"))</f>
        <v/>
      </c>
      <c r="F281" s="14" t="str">
        <f aca="false">IF(D281="","",IFERROR(INDEX(Pacientes!$D:$D,MATCH(D281,Pacientes!$A:$A,0))&amp;"","ID no existe"))</f>
        <v/>
      </c>
      <c r="G281" s="14" t="str">
        <f aca="false">IF(D281="","",IFERROR(INDEX(Pacientes!$E:$E,MATCH(D281,Pacientes!$A:$A,0))&amp;"","ID no existe"))</f>
        <v/>
      </c>
      <c r="H281" s="9"/>
      <c r="I281" s="6"/>
      <c r="J281" s="6"/>
      <c r="K281" s="6"/>
      <c r="L281" s="7"/>
      <c r="M281" s="7"/>
      <c r="N281" s="6"/>
      <c r="O281" s="6"/>
    </row>
    <row r="282" customFormat="false" ht="15" hidden="false" customHeight="false" outlineLevel="0" collapsed="false">
      <c r="A282" s="6"/>
      <c r="B282" s="10"/>
      <c r="C282" s="16" t="str">
        <f aca="false">IF(B282="","",DATE(YEAR(B282),MONTH(B282),1))</f>
        <v/>
      </c>
      <c r="D282" s="6"/>
      <c r="E282" s="14" t="str">
        <f aca="false">IF(D282="","",IFERROR(INDEX(Pacientes!$Q:$Q,MATCH(D282,Pacientes!$A:$A,0))&amp;"","ID no existe"))</f>
        <v/>
      </c>
      <c r="F282" s="14" t="str">
        <f aca="false">IF(D282="","",IFERROR(INDEX(Pacientes!$D:$D,MATCH(D282,Pacientes!$A:$A,0))&amp;"","ID no existe"))</f>
        <v/>
      </c>
      <c r="G282" s="14" t="str">
        <f aca="false">IF(D282="","",IFERROR(INDEX(Pacientes!$E:$E,MATCH(D282,Pacientes!$A:$A,0))&amp;"","ID no existe"))</f>
        <v/>
      </c>
      <c r="H282" s="9"/>
      <c r="I282" s="6"/>
      <c r="J282" s="6"/>
      <c r="K282" s="6"/>
      <c r="L282" s="7"/>
      <c r="M282" s="7"/>
      <c r="N282" s="6"/>
      <c r="O282" s="6"/>
    </row>
    <row r="283" customFormat="false" ht="15" hidden="false" customHeight="false" outlineLevel="0" collapsed="false">
      <c r="A283" s="6"/>
      <c r="B283" s="10"/>
      <c r="C283" s="16" t="str">
        <f aca="false">IF(B283="","",DATE(YEAR(B283),MONTH(B283),1))</f>
        <v/>
      </c>
      <c r="D283" s="6"/>
      <c r="E283" s="14" t="str">
        <f aca="false">IF(D283="","",IFERROR(INDEX(Pacientes!$Q:$Q,MATCH(D283,Pacientes!$A:$A,0))&amp;"","ID no existe"))</f>
        <v/>
      </c>
      <c r="F283" s="14" t="str">
        <f aca="false">IF(D283="","",IFERROR(INDEX(Pacientes!$D:$D,MATCH(D283,Pacientes!$A:$A,0))&amp;"","ID no existe"))</f>
        <v/>
      </c>
      <c r="G283" s="14" t="str">
        <f aca="false">IF(D283="","",IFERROR(INDEX(Pacientes!$E:$E,MATCH(D283,Pacientes!$A:$A,0))&amp;"","ID no existe"))</f>
        <v/>
      </c>
      <c r="H283" s="9"/>
      <c r="I283" s="6"/>
      <c r="J283" s="6"/>
      <c r="K283" s="6"/>
      <c r="L283" s="7"/>
      <c r="M283" s="7"/>
      <c r="N283" s="6"/>
      <c r="O283" s="6"/>
    </row>
    <row r="284" customFormat="false" ht="15" hidden="false" customHeight="false" outlineLevel="0" collapsed="false">
      <c r="A284" s="6"/>
      <c r="B284" s="10"/>
      <c r="C284" s="16" t="str">
        <f aca="false">IF(B284="","",DATE(YEAR(B284),MONTH(B284),1))</f>
        <v/>
      </c>
      <c r="D284" s="6"/>
      <c r="E284" s="14" t="str">
        <f aca="false">IF(D284="","",IFERROR(INDEX(Pacientes!$Q:$Q,MATCH(D284,Pacientes!$A:$A,0))&amp;"","ID no existe"))</f>
        <v/>
      </c>
      <c r="F284" s="14" t="str">
        <f aca="false">IF(D284="","",IFERROR(INDEX(Pacientes!$D:$D,MATCH(D284,Pacientes!$A:$A,0))&amp;"","ID no existe"))</f>
        <v/>
      </c>
      <c r="G284" s="14" t="str">
        <f aca="false">IF(D284="","",IFERROR(INDEX(Pacientes!$E:$E,MATCH(D284,Pacientes!$A:$A,0))&amp;"","ID no existe"))</f>
        <v/>
      </c>
      <c r="H284" s="9"/>
      <c r="I284" s="6"/>
      <c r="J284" s="6"/>
      <c r="K284" s="6"/>
      <c r="L284" s="7"/>
      <c r="M284" s="7"/>
      <c r="N284" s="6"/>
      <c r="O284" s="6"/>
    </row>
    <row r="285" customFormat="false" ht="15" hidden="false" customHeight="false" outlineLevel="0" collapsed="false">
      <c r="A285" s="6"/>
      <c r="B285" s="10"/>
      <c r="C285" s="16" t="str">
        <f aca="false">IF(B285="","",DATE(YEAR(B285),MONTH(B285),1))</f>
        <v/>
      </c>
      <c r="D285" s="6"/>
      <c r="E285" s="14" t="str">
        <f aca="false">IF(D285="","",IFERROR(INDEX(Pacientes!$Q:$Q,MATCH(D285,Pacientes!$A:$A,0))&amp;"","ID no existe"))</f>
        <v/>
      </c>
      <c r="F285" s="14" t="str">
        <f aca="false">IF(D285="","",IFERROR(INDEX(Pacientes!$D:$D,MATCH(D285,Pacientes!$A:$A,0))&amp;"","ID no existe"))</f>
        <v/>
      </c>
      <c r="G285" s="14" t="str">
        <f aca="false">IF(D285="","",IFERROR(INDEX(Pacientes!$E:$E,MATCH(D285,Pacientes!$A:$A,0))&amp;"","ID no existe"))</f>
        <v/>
      </c>
      <c r="H285" s="9"/>
      <c r="I285" s="6"/>
      <c r="J285" s="6"/>
      <c r="K285" s="6"/>
      <c r="L285" s="7"/>
      <c r="M285" s="7"/>
      <c r="N285" s="6"/>
      <c r="O285" s="6"/>
    </row>
    <row r="286" customFormat="false" ht="15" hidden="false" customHeight="false" outlineLevel="0" collapsed="false">
      <c r="A286" s="6"/>
      <c r="B286" s="10"/>
      <c r="C286" s="16" t="str">
        <f aca="false">IF(B286="","",DATE(YEAR(B286),MONTH(B286),1))</f>
        <v/>
      </c>
      <c r="D286" s="6"/>
      <c r="E286" s="14" t="str">
        <f aca="false">IF(D286="","",IFERROR(INDEX(Pacientes!$Q:$Q,MATCH(D286,Pacientes!$A:$A,0))&amp;"","ID no existe"))</f>
        <v/>
      </c>
      <c r="F286" s="14" t="str">
        <f aca="false">IF(D286="","",IFERROR(INDEX(Pacientes!$D:$D,MATCH(D286,Pacientes!$A:$A,0))&amp;"","ID no existe"))</f>
        <v/>
      </c>
      <c r="G286" s="14" t="str">
        <f aca="false">IF(D286="","",IFERROR(INDEX(Pacientes!$E:$E,MATCH(D286,Pacientes!$A:$A,0))&amp;"","ID no existe"))</f>
        <v/>
      </c>
      <c r="H286" s="9"/>
      <c r="I286" s="6"/>
      <c r="J286" s="6"/>
      <c r="K286" s="6"/>
      <c r="L286" s="7"/>
      <c r="M286" s="7"/>
      <c r="N286" s="6"/>
      <c r="O286" s="6"/>
    </row>
    <row r="287" customFormat="false" ht="15" hidden="false" customHeight="false" outlineLevel="0" collapsed="false">
      <c r="A287" s="6"/>
      <c r="B287" s="10"/>
      <c r="C287" s="16" t="str">
        <f aca="false">IF(B287="","",DATE(YEAR(B287),MONTH(B287),1))</f>
        <v/>
      </c>
      <c r="D287" s="6"/>
      <c r="E287" s="14" t="str">
        <f aca="false">IF(D287="","",IFERROR(INDEX(Pacientes!$Q:$Q,MATCH(D287,Pacientes!$A:$A,0))&amp;"","ID no existe"))</f>
        <v/>
      </c>
      <c r="F287" s="14" t="str">
        <f aca="false">IF(D287="","",IFERROR(INDEX(Pacientes!$D:$D,MATCH(D287,Pacientes!$A:$A,0))&amp;"","ID no existe"))</f>
        <v/>
      </c>
      <c r="G287" s="14" t="str">
        <f aca="false">IF(D287="","",IFERROR(INDEX(Pacientes!$E:$E,MATCH(D287,Pacientes!$A:$A,0))&amp;"","ID no existe"))</f>
        <v/>
      </c>
      <c r="H287" s="9"/>
      <c r="I287" s="6"/>
      <c r="J287" s="6"/>
      <c r="K287" s="6"/>
      <c r="L287" s="7"/>
      <c r="M287" s="7"/>
      <c r="N287" s="6"/>
      <c r="O287" s="6"/>
    </row>
    <row r="288" customFormat="false" ht="15" hidden="false" customHeight="false" outlineLevel="0" collapsed="false">
      <c r="A288" s="6"/>
      <c r="B288" s="10"/>
      <c r="C288" s="16" t="str">
        <f aca="false">IF(B288="","",DATE(YEAR(B288),MONTH(B288),1))</f>
        <v/>
      </c>
      <c r="D288" s="6"/>
      <c r="E288" s="14" t="str">
        <f aca="false">IF(D288="","",IFERROR(INDEX(Pacientes!$Q:$Q,MATCH(D288,Pacientes!$A:$A,0))&amp;"","ID no existe"))</f>
        <v/>
      </c>
      <c r="F288" s="14" t="str">
        <f aca="false">IF(D288="","",IFERROR(INDEX(Pacientes!$D:$D,MATCH(D288,Pacientes!$A:$A,0))&amp;"","ID no existe"))</f>
        <v/>
      </c>
      <c r="G288" s="14" t="str">
        <f aca="false">IF(D288="","",IFERROR(INDEX(Pacientes!$E:$E,MATCH(D288,Pacientes!$A:$A,0))&amp;"","ID no existe"))</f>
        <v/>
      </c>
      <c r="H288" s="9"/>
      <c r="I288" s="6"/>
      <c r="J288" s="6"/>
      <c r="K288" s="6"/>
      <c r="L288" s="7"/>
      <c r="M288" s="7"/>
      <c r="N288" s="6"/>
      <c r="O288" s="6"/>
    </row>
    <row r="289" customFormat="false" ht="15" hidden="false" customHeight="false" outlineLevel="0" collapsed="false">
      <c r="A289" s="6"/>
      <c r="B289" s="10"/>
      <c r="C289" s="16" t="str">
        <f aca="false">IF(B289="","",DATE(YEAR(B289),MONTH(B289),1))</f>
        <v/>
      </c>
      <c r="D289" s="6"/>
      <c r="E289" s="14" t="str">
        <f aca="false">IF(D289="","",IFERROR(INDEX(Pacientes!$Q:$Q,MATCH(D289,Pacientes!$A:$A,0))&amp;"","ID no existe"))</f>
        <v/>
      </c>
      <c r="F289" s="14" t="str">
        <f aca="false">IF(D289="","",IFERROR(INDEX(Pacientes!$D:$D,MATCH(D289,Pacientes!$A:$A,0))&amp;"","ID no existe"))</f>
        <v/>
      </c>
      <c r="G289" s="14" t="str">
        <f aca="false">IF(D289="","",IFERROR(INDEX(Pacientes!$E:$E,MATCH(D289,Pacientes!$A:$A,0))&amp;"","ID no existe"))</f>
        <v/>
      </c>
      <c r="H289" s="9"/>
      <c r="I289" s="6"/>
      <c r="J289" s="6"/>
      <c r="K289" s="6"/>
      <c r="L289" s="7"/>
      <c r="M289" s="7"/>
      <c r="N289" s="6"/>
      <c r="O289" s="6"/>
    </row>
    <row r="290" customFormat="false" ht="15" hidden="false" customHeight="false" outlineLevel="0" collapsed="false">
      <c r="A290" s="6"/>
      <c r="B290" s="10"/>
      <c r="C290" s="16" t="str">
        <f aca="false">IF(B290="","",DATE(YEAR(B290),MONTH(B290),1))</f>
        <v/>
      </c>
      <c r="D290" s="6"/>
      <c r="E290" s="14" t="str">
        <f aca="false">IF(D290="","",IFERROR(INDEX(Pacientes!$Q:$Q,MATCH(D290,Pacientes!$A:$A,0))&amp;"","ID no existe"))</f>
        <v/>
      </c>
      <c r="F290" s="14" t="str">
        <f aca="false">IF(D290="","",IFERROR(INDEX(Pacientes!$D:$D,MATCH(D290,Pacientes!$A:$A,0))&amp;"","ID no existe"))</f>
        <v/>
      </c>
      <c r="G290" s="14" t="str">
        <f aca="false">IF(D290="","",IFERROR(INDEX(Pacientes!$E:$E,MATCH(D290,Pacientes!$A:$A,0))&amp;"","ID no existe"))</f>
        <v/>
      </c>
      <c r="H290" s="9"/>
      <c r="I290" s="6"/>
      <c r="J290" s="6"/>
      <c r="K290" s="6"/>
      <c r="L290" s="7"/>
      <c r="M290" s="7"/>
      <c r="N290" s="6"/>
      <c r="O290" s="6"/>
    </row>
    <row r="291" customFormat="false" ht="15" hidden="false" customHeight="false" outlineLevel="0" collapsed="false">
      <c r="A291" s="6"/>
      <c r="B291" s="10"/>
      <c r="C291" s="16" t="str">
        <f aca="false">IF(B291="","",DATE(YEAR(B291),MONTH(B291),1))</f>
        <v/>
      </c>
      <c r="D291" s="6"/>
      <c r="E291" s="14" t="str">
        <f aca="false">IF(D291="","",IFERROR(INDEX(Pacientes!$Q:$Q,MATCH(D291,Pacientes!$A:$A,0))&amp;"","ID no existe"))</f>
        <v/>
      </c>
      <c r="F291" s="14" t="str">
        <f aca="false">IF(D291="","",IFERROR(INDEX(Pacientes!$D:$D,MATCH(D291,Pacientes!$A:$A,0))&amp;"","ID no existe"))</f>
        <v/>
      </c>
      <c r="G291" s="14" t="str">
        <f aca="false">IF(D291="","",IFERROR(INDEX(Pacientes!$E:$E,MATCH(D291,Pacientes!$A:$A,0))&amp;"","ID no existe"))</f>
        <v/>
      </c>
      <c r="H291" s="9"/>
      <c r="I291" s="6"/>
      <c r="J291" s="6"/>
      <c r="K291" s="6"/>
      <c r="L291" s="7"/>
      <c r="M291" s="7"/>
      <c r="N291" s="6"/>
      <c r="O291" s="6"/>
    </row>
    <row r="292" customFormat="false" ht="15" hidden="false" customHeight="false" outlineLevel="0" collapsed="false">
      <c r="A292" s="6"/>
      <c r="B292" s="10"/>
      <c r="C292" s="16" t="str">
        <f aca="false">IF(B292="","",DATE(YEAR(B292),MONTH(B292),1))</f>
        <v/>
      </c>
      <c r="D292" s="6"/>
      <c r="E292" s="14" t="str">
        <f aca="false">IF(D292="","",IFERROR(INDEX(Pacientes!$Q:$Q,MATCH(D292,Pacientes!$A:$A,0))&amp;"","ID no existe"))</f>
        <v/>
      </c>
      <c r="F292" s="14" t="str">
        <f aca="false">IF(D292="","",IFERROR(INDEX(Pacientes!$D:$D,MATCH(D292,Pacientes!$A:$A,0))&amp;"","ID no existe"))</f>
        <v/>
      </c>
      <c r="G292" s="14" t="str">
        <f aca="false">IF(D292="","",IFERROR(INDEX(Pacientes!$E:$E,MATCH(D292,Pacientes!$A:$A,0))&amp;"","ID no existe"))</f>
        <v/>
      </c>
      <c r="H292" s="9"/>
      <c r="I292" s="6"/>
      <c r="J292" s="6"/>
      <c r="K292" s="6"/>
      <c r="L292" s="7"/>
      <c r="M292" s="7"/>
      <c r="N292" s="6"/>
      <c r="O292" s="6"/>
    </row>
    <row r="293" customFormat="false" ht="15" hidden="false" customHeight="false" outlineLevel="0" collapsed="false">
      <c r="A293" s="6"/>
      <c r="B293" s="10"/>
      <c r="C293" s="16" t="str">
        <f aca="false">IF(B293="","",DATE(YEAR(B293),MONTH(B293),1))</f>
        <v/>
      </c>
      <c r="D293" s="6"/>
      <c r="E293" s="14" t="str">
        <f aca="false">IF(D293="","",IFERROR(INDEX(Pacientes!$Q:$Q,MATCH(D293,Pacientes!$A:$A,0))&amp;"","ID no existe"))</f>
        <v/>
      </c>
      <c r="F293" s="14" t="str">
        <f aca="false">IF(D293="","",IFERROR(INDEX(Pacientes!$D:$D,MATCH(D293,Pacientes!$A:$A,0))&amp;"","ID no existe"))</f>
        <v/>
      </c>
      <c r="G293" s="14" t="str">
        <f aca="false">IF(D293="","",IFERROR(INDEX(Pacientes!$E:$E,MATCH(D293,Pacientes!$A:$A,0))&amp;"","ID no existe"))</f>
        <v/>
      </c>
      <c r="H293" s="9"/>
      <c r="I293" s="6"/>
      <c r="J293" s="6"/>
      <c r="K293" s="6"/>
      <c r="L293" s="7"/>
      <c r="M293" s="7"/>
      <c r="N293" s="6"/>
      <c r="O293" s="6"/>
    </row>
    <row r="294" customFormat="false" ht="15" hidden="false" customHeight="false" outlineLevel="0" collapsed="false">
      <c r="A294" s="6"/>
      <c r="B294" s="10"/>
      <c r="C294" s="16" t="str">
        <f aca="false">IF(B294="","",DATE(YEAR(B294),MONTH(B294),1))</f>
        <v/>
      </c>
      <c r="D294" s="6"/>
      <c r="E294" s="14" t="str">
        <f aca="false">IF(D294="","",IFERROR(INDEX(Pacientes!$Q:$Q,MATCH(D294,Pacientes!$A:$A,0))&amp;"","ID no existe"))</f>
        <v/>
      </c>
      <c r="F294" s="14" t="str">
        <f aca="false">IF(D294="","",IFERROR(INDEX(Pacientes!$D:$D,MATCH(D294,Pacientes!$A:$A,0))&amp;"","ID no existe"))</f>
        <v/>
      </c>
      <c r="G294" s="14" t="str">
        <f aca="false">IF(D294="","",IFERROR(INDEX(Pacientes!$E:$E,MATCH(D294,Pacientes!$A:$A,0))&amp;"","ID no existe"))</f>
        <v/>
      </c>
      <c r="H294" s="9"/>
      <c r="I294" s="6"/>
      <c r="J294" s="6"/>
      <c r="K294" s="6"/>
      <c r="L294" s="7"/>
      <c r="M294" s="7"/>
      <c r="N294" s="6"/>
      <c r="O294" s="6"/>
    </row>
    <row r="295" customFormat="false" ht="15" hidden="false" customHeight="false" outlineLevel="0" collapsed="false">
      <c r="A295" s="6"/>
      <c r="B295" s="10"/>
      <c r="C295" s="16" t="str">
        <f aca="false">IF(B295="","",DATE(YEAR(B295),MONTH(B295),1))</f>
        <v/>
      </c>
      <c r="D295" s="6"/>
      <c r="E295" s="14" t="str">
        <f aca="false">IF(D295="","",IFERROR(INDEX(Pacientes!$Q:$Q,MATCH(D295,Pacientes!$A:$A,0))&amp;"","ID no existe"))</f>
        <v/>
      </c>
      <c r="F295" s="14" t="str">
        <f aca="false">IF(D295="","",IFERROR(INDEX(Pacientes!$D:$D,MATCH(D295,Pacientes!$A:$A,0))&amp;"","ID no existe"))</f>
        <v/>
      </c>
      <c r="G295" s="14" t="str">
        <f aca="false">IF(D295="","",IFERROR(INDEX(Pacientes!$E:$E,MATCH(D295,Pacientes!$A:$A,0))&amp;"","ID no existe"))</f>
        <v/>
      </c>
      <c r="H295" s="9"/>
      <c r="I295" s="6"/>
      <c r="J295" s="6"/>
      <c r="K295" s="6"/>
      <c r="L295" s="7"/>
      <c r="M295" s="7"/>
      <c r="N295" s="6"/>
      <c r="O295" s="6"/>
    </row>
    <row r="296" customFormat="false" ht="15" hidden="false" customHeight="false" outlineLevel="0" collapsed="false">
      <c r="A296" s="6"/>
      <c r="B296" s="10"/>
      <c r="C296" s="16" t="str">
        <f aca="false">IF(B296="","",DATE(YEAR(B296),MONTH(B296),1))</f>
        <v/>
      </c>
      <c r="D296" s="6"/>
      <c r="E296" s="14" t="str">
        <f aca="false">IF(D296="","",IFERROR(INDEX(Pacientes!$Q:$Q,MATCH(D296,Pacientes!$A:$A,0))&amp;"","ID no existe"))</f>
        <v/>
      </c>
      <c r="F296" s="14" t="str">
        <f aca="false">IF(D296="","",IFERROR(INDEX(Pacientes!$D:$D,MATCH(D296,Pacientes!$A:$A,0))&amp;"","ID no existe"))</f>
        <v/>
      </c>
      <c r="G296" s="14" t="str">
        <f aca="false">IF(D296="","",IFERROR(INDEX(Pacientes!$E:$E,MATCH(D296,Pacientes!$A:$A,0))&amp;"","ID no existe"))</f>
        <v/>
      </c>
      <c r="H296" s="9"/>
      <c r="I296" s="6"/>
      <c r="J296" s="6"/>
      <c r="K296" s="6"/>
      <c r="L296" s="7"/>
      <c r="M296" s="7"/>
      <c r="N296" s="6"/>
      <c r="O296" s="6"/>
    </row>
    <row r="297" customFormat="false" ht="15" hidden="false" customHeight="false" outlineLevel="0" collapsed="false">
      <c r="A297" s="6"/>
      <c r="B297" s="10"/>
      <c r="C297" s="16" t="str">
        <f aca="false">IF(B297="","",DATE(YEAR(B297),MONTH(B297),1))</f>
        <v/>
      </c>
      <c r="D297" s="6"/>
      <c r="E297" s="14" t="str">
        <f aca="false">IF(D297="","",IFERROR(INDEX(Pacientes!$Q:$Q,MATCH(D297,Pacientes!$A:$A,0))&amp;"","ID no existe"))</f>
        <v/>
      </c>
      <c r="F297" s="14" t="str">
        <f aca="false">IF(D297="","",IFERROR(INDEX(Pacientes!$D:$D,MATCH(D297,Pacientes!$A:$A,0))&amp;"","ID no existe"))</f>
        <v/>
      </c>
      <c r="G297" s="14" t="str">
        <f aca="false">IF(D297="","",IFERROR(INDEX(Pacientes!$E:$E,MATCH(D297,Pacientes!$A:$A,0))&amp;"","ID no existe"))</f>
        <v/>
      </c>
      <c r="H297" s="9"/>
      <c r="I297" s="6"/>
      <c r="J297" s="6"/>
      <c r="K297" s="6"/>
      <c r="L297" s="7"/>
      <c r="M297" s="7"/>
      <c r="N297" s="6"/>
      <c r="O297" s="6"/>
    </row>
    <row r="298" customFormat="false" ht="15" hidden="false" customHeight="false" outlineLevel="0" collapsed="false">
      <c r="A298" s="6"/>
      <c r="B298" s="10"/>
      <c r="C298" s="16" t="str">
        <f aca="false">IF(B298="","",DATE(YEAR(B298),MONTH(B298),1))</f>
        <v/>
      </c>
      <c r="D298" s="6"/>
      <c r="E298" s="14" t="str">
        <f aca="false">IF(D298="","",IFERROR(INDEX(Pacientes!$Q:$Q,MATCH(D298,Pacientes!$A:$A,0))&amp;"","ID no existe"))</f>
        <v/>
      </c>
      <c r="F298" s="14" t="str">
        <f aca="false">IF(D298="","",IFERROR(INDEX(Pacientes!$D:$D,MATCH(D298,Pacientes!$A:$A,0))&amp;"","ID no existe"))</f>
        <v/>
      </c>
      <c r="G298" s="14" t="str">
        <f aca="false">IF(D298="","",IFERROR(INDEX(Pacientes!$E:$E,MATCH(D298,Pacientes!$A:$A,0))&amp;"","ID no existe"))</f>
        <v/>
      </c>
      <c r="H298" s="9"/>
      <c r="I298" s="6"/>
      <c r="J298" s="6"/>
      <c r="K298" s="6"/>
      <c r="L298" s="7"/>
      <c r="M298" s="7"/>
      <c r="N298" s="6"/>
      <c r="O298" s="6"/>
    </row>
    <row r="299" customFormat="false" ht="15" hidden="false" customHeight="false" outlineLevel="0" collapsed="false">
      <c r="A299" s="6"/>
      <c r="B299" s="10"/>
      <c r="C299" s="16" t="str">
        <f aca="false">IF(B299="","",DATE(YEAR(B299),MONTH(B299),1))</f>
        <v/>
      </c>
      <c r="D299" s="6"/>
      <c r="E299" s="14" t="str">
        <f aca="false">IF(D299="","",IFERROR(INDEX(Pacientes!$Q:$Q,MATCH(D299,Pacientes!$A:$A,0))&amp;"","ID no existe"))</f>
        <v/>
      </c>
      <c r="F299" s="14" t="str">
        <f aca="false">IF(D299="","",IFERROR(INDEX(Pacientes!$D:$D,MATCH(D299,Pacientes!$A:$A,0))&amp;"","ID no existe"))</f>
        <v/>
      </c>
      <c r="G299" s="14" t="str">
        <f aca="false">IF(D299="","",IFERROR(INDEX(Pacientes!$E:$E,MATCH(D299,Pacientes!$A:$A,0))&amp;"","ID no existe"))</f>
        <v/>
      </c>
      <c r="H299" s="9"/>
      <c r="I299" s="6"/>
      <c r="J299" s="6"/>
      <c r="K299" s="6"/>
      <c r="L299" s="7"/>
      <c r="M299" s="7"/>
      <c r="N299" s="6"/>
      <c r="O299" s="6"/>
    </row>
    <row r="300" customFormat="false" ht="15" hidden="false" customHeight="false" outlineLevel="0" collapsed="false">
      <c r="A300" s="6"/>
      <c r="B300" s="10"/>
      <c r="C300" s="16" t="str">
        <f aca="false">IF(B300="","",DATE(YEAR(B300),MONTH(B300),1))</f>
        <v/>
      </c>
      <c r="D300" s="6"/>
      <c r="E300" s="14" t="str">
        <f aca="false">IF(D300="","",IFERROR(INDEX(Pacientes!$Q:$Q,MATCH(D300,Pacientes!$A:$A,0))&amp;"","ID no existe"))</f>
        <v/>
      </c>
      <c r="F300" s="14" t="str">
        <f aca="false">IF(D300="","",IFERROR(INDEX(Pacientes!$D:$D,MATCH(D300,Pacientes!$A:$A,0))&amp;"","ID no existe"))</f>
        <v/>
      </c>
      <c r="G300" s="14" t="str">
        <f aca="false">IF(D300="","",IFERROR(INDEX(Pacientes!$E:$E,MATCH(D300,Pacientes!$A:$A,0))&amp;"","ID no existe"))</f>
        <v/>
      </c>
      <c r="H300" s="9"/>
      <c r="I300" s="6"/>
      <c r="J300" s="6"/>
      <c r="K300" s="6"/>
      <c r="L300" s="7"/>
      <c r="M300" s="7"/>
      <c r="N300" s="6"/>
      <c r="O300" s="6"/>
    </row>
    <row r="301" customFormat="false" ht="15" hidden="false" customHeight="false" outlineLevel="0" collapsed="false">
      <c r="A301" s="6"/>
      <c r="B301" s="10"/>
      <c r="C301" s="16" t="str">
        <f aca="false">IF(B301="","",DATE(YEAR(B301),MONTH(B301),1))</f>
        <v/>
      </c>
      <c r="D301" s="6"/>
      <c r="E301" s="14" t="str">
        <f aca="false">IF(D301="","",IFERROR(INDEX(Pacientes!$Q:$Q,MATCH(D301,Pacientes!$A:$A,0))&amp;"","ID no existe"))</f>
        <v/>
      </c>
      <c r="F301" s="14" t="str">
        <f aca="false">IF(D301="","",IFERROR(INDEX(Pacientes!$D:$D,MATCH(D301,Pacientes!$A:$A,0))&amp;"","ID no existe"))</f>
        <v/>
      </c>
      <c r="G301" s="14" t="str">
        <f aca="false">IF(D301="","",IFERROR(INDEX(Pacientes!$E:$E,MATCH(D301,Pacientes!$A:$A,0))&amp;"","ID no existe"))</f>
        <v/>
      </c>
      <c r="H301" s="9"/>
      <c r="I301" s="6"/>
      <c r="J301" s="6"/>
      <c r="K301" s="6"/>
      <c r="L301" s="7"/>
      <c r="M301" s="7"/>
      <c r="N301" s="6"/>
      <c r="O301" s="6"/>
    </row>
    <row r="302" customFormat="false" ht="15" hidden="false" customHeight="false" outlineLevel="0" collapsed="false">
      <c r="A302" s="6"/>
      <c r="B302" s="10"/>
      <c r="C302" s="16" t="str">
        <f aca="false">IF(B302="","",DATE(YEAR(B302),MONTH(B302),1))</f>
        <v/>
      </c>
      <c r="D302" s="6"/>
      <c r="E302" s="14" t="str">
        <f aca="false">IF(D302="","",IFERROR(INDEX(Pacientes!$Q:$Q,MATCH(D302,Pacientes!$A:$A,0))&amp;"","ID no existe"))</f>
        <v/>
      </c>
      <c r="F302" s="14" t="str">
        <f aca="false">IF(D302="","",IFERROR(INDEX(Pacientes!$D:$D,MATCH(D302,Pacientes!$A:$A,0))&amp;"","ID no existe"))</f>
        <v/>
      </c>
      <c r="G302" s="14" t="str">
        <f aca="false">IF(D302="","",IFERROR(INDEX(Pacientes!$E:$E,MATCH(D302,Pacientes!$A:$A,0))&amp;"","ID no existe"))</f>
        <v/>
      </c>
      <c r="H302" s="9"/>
      <c r="I302" s="6"/>
      <c r="J302" s="6"/>
      <c r="K302" s="6"/>
      <c r="L302" s="7"/>
      <c r="M302" s="7"/>
      <c r="N302" s="6"/>
      <c r="O302" s="6"/>
    </row>
    <row r="303" customFormat="false" ht="15" hidden="false" customHeight="false" outlineLevel="0" collapsed="false">
      <c r="A303" s="6"/>
      <c r="B303" s="10"/>
      <c r="C303" s="16" t="str">
        <f aca="false">IF(B303="","",DATE(YEAR(B303),MONTH(B303),1))</f>
        <v/>
      </c>
      <c r="D303" s="6"/>
      <c r="E303" s="14" t="str">
        <f aca="false">IF(D303="","",IFERROR(INDEX(Pacientes!$Q:$Q,MATCH(D303,Pacientes!$A:$A,0))&amp;"","ID no existe"))</f>
        <v/>
      </c>
      <c r="F303" s="14" t="str">
        <f aca="false">IF(D303="","",IFERROR(INDEX(Pacientes!$D:$D,MATCH(D303,Pacientes!$A:$A,0))&amp;"","ID no existe"))</f>
        <v/>
      </c>
      <c r="G303" s="14" t="str">
        <f aca="false">IF(D303="","",IFERROR(INDEX(Pacientes!$E:$E,MATCH(D303,Pacientes!$A:$A,0))&amp;"","ID no existe"))</f>
        <v/>
      </c>
      <c r="H303" s="9"/>
      <c r="I303" s="6"/>
      <c r="J303" s="6"/>
      <c r="K303" s="6"/>
      <c r="L303" s="7"/>
      <c r="M303" s="7"/>
      <c r="N303" s="6"/>
      <c r="O303" s="6"/>
    </row>
    <row r="304" customFormat="false" ht="15" hidden="false" customHeight="false" outlineLevel="0" collapsed="false">
      <c r="A304" s="6"/>
      <c r="B304" s="10"/>
      <c r="C304" s="16" t="str">
        <f aca="false">IF(B304="","",DATE(YEAR(B304),MONTH(B304),1))</f>
        <v/>
      </c>
      <c r="D304" s="6"/>
      <c r="E304" s="14" t="str">
        <f aca="false">IF(D304="","",IFERROR(INDEX(Pacientes!$Q:$Q,MATCH(D304,Pacientes!$A:$A,0))&amp;"","ID no existe"))</f>
        <v/>
      </c>
      <c r="F304" s="14" t="str">
        <f aca="false">IF(D304="","",IFERROR(INDEX(Pacientes!$D:$D,MATCH(D304,Pacientes!$A:$A,0))&amp;"","ID no existe"))</f>
        <v/>
      </c>
      <c r="G304" s="14" t="str">
        <f aca="false">IF(D304="","",IFERROR(INDEX(Pacientes!$E:$E,MATCH(D304,Pacientes!$A:$A,0))&amp;"","ID no existe"))</f>
        <v/>
      </c>
      <c r="H304" s="9"/>
      <c r="I304" s="6"/>
      <c r="J304" s="6"/>
      <c r="K304" s="6"/>
      <c r="L304" s="7"/>
      <c r="M304" s="7"/>
      <c r="N304" s="6"/>
      <c r="O304" s="6"/>
    </row>
    <row r="305" customFormat="false" ht="15" hidden="false" customHeight="false" outlineLevel="0" collapsed="false">
      <c r="A305" s="6"/>
      <c r="B305" s="10"/>
      <c r="C305" s="16" t="str">
        <f aca="false">IF(B305="","",DATE(YEAR(B305),MONTH(B305),1))</f>
        <v/>
      </c>
      <c r="D305" s="6"/>
      <c r="E305" s="14" t="str">
        <f aca="false">IF(D305="","",IFERROR(INDEX(Pacientes!$Q:$Q,MATCH(D305,Pacientes!$A:$A,0))&amp;"","ID no existe"))</f>
        <v/>
      </c>
      <c r="F305" s="14" t="str">
        <f aca="false">IF(D305="","",IFERROR(INDEX(Pacientes!$D:$D,MATCH(D305,Pacientes!$A:$A,0))&amp;"","ID no existe"))</f>
        <v/>
      </c>
      <c r="G305" s="14" t="str">
        <f aca="false">IF(D305="","",IFERROR(INDEX(Pacientes!$E:$E,MATCH(D305,Pacientes!$A:$A,0))&amp;"","ID no existe"))</f>
        <v/>
      </c>
      <c r="H305" s="9"/>
      <c r="I305" s="6"/>
      <c r="J305" s="6"/>
      <c r="K305" s="6"/>
      <c r="L305" s="7"/>
      <c r="M305" s="7"/>
      <c r="N305" s="6"/>
      <c r="O305" s="6"/>
    </row>
    <row r="306" customFormat="false" ht="15" hidden="false" customHeight="false" outlineLevel="0" collapsed="false">
      <c r="A306" s="6"/>
      <c r="B306" s="10"/>
      <c r="C306" s="16" t="str">
        <f aca="false">IF(B306="","",DATE(YEAR(B306),MONTH(B306),1))</f>
        <v/>
      </c>
      <c r="D306" s="6"/>
      <c r="E306" s="14" t="str">
        <f aca="false">IF(D306="","",IFERROR(INDEX(Pacientes!$Q:$Q,MATCH(D306,Pacientes!$A:$A,0))&amp;"","ID no existe"))</f>
        <v/>
      </c>
      <c r="F306" s="14" t="str">
        <f aca="false">IF(D306="","",IFERROR(INDEX(Pacientes!$D:$D,MATCH(D306,Pacientes!$A:$A,0))&amp;"","ID no existe"))</f>
        <v/>
      </c>
      <c r="G306" s="14" t="str">
        <f aca="false">IF(D306="","",IFERROR(INDEX(Pacientes!$E:$E,MATCH(D306,Pacientes!$A:$A,0))&amp;"","ID no existe"))</f>
        <v/>
      </c>
      <c r="H306" s="9"/>
      <c r="I306" s="6"/>
      <c r="J306" s="6"/>
      <c r="K306" s="6"/>
      <c r="L306" s="7"/>
      <c r="M306" s="7"/>
      <c r="N306" s="6"/>
      <c r="O306" s="6"/>
    </row>
    <row r="307" customFormat="false" ht="15" hidden="false" customHeight="false" outlineLevel="0" collapsed="false">
      <c r="A307" s="6"/>
      <c r="B307" s="10"/>
      <c r="C307" s="16" t="str">
        <f aca="false">IF(B307="","",DATE(YEAR(B307),MONTH(B307),1))</f>
        <v/>
      </c>
      <c r="D307" s="6"/>
      <c r="E307" s="14" t="str">
        <f aca="false">IF(D307="","",IFERROR(INDEX(Pacientes!$Q:$Q,MATCH(D307,Pacientes!$A:$A,0))&amp;"","ID no existe"))</f>
        <v/>
      </c>
      <c r="F307" s="14" t="str">
        <f aca="false">IF(D307="","",IFERROR(INDEX(Pacientes!$D:$D,MATCH(D307,Pacientes!$A:$A,0))&amp;"","ID no existe"))</f>
        <v/>
      </c>
      <c r="G307" s="14" t="str">
        <f aca="false">IF(D307="","",IFERROR(INDEX(Pacientes!$E:$E,MATCH(D307,Pacientes!$A:$A,0))&amp;"","ID no existe"))</f>
        <v/>
      </c>
      <c r="H307" s="9"/>
      <c r="I307" s="6"/>
      <c r="J307" s="6"/>
      <c r="K307" s="6"/>
      <c r="L307" s="7"/>
      <c r="M307" s="7"/>
      <c r="N307" s="6"/>
      <c r="O307" s="6"/>
    </row>
    <row r="308" customFormat="false" ht="15" hidden="false" customHeight="false" outlineLevel="0" collapsed="false">
      <c r="A308" s="6"/>
      <c r="B308" s="10"/>
      <c r="C308" s="16" t="str">
        <f aca="false">IF(B308="","",DATE(YEAR(B308),MONTH(B308),1))</f>
        <v/>
      </c>
      <c r="D308" s="6"/>
      <c r="E308" s="14" t="str">
        <f aca="false">IF(D308="","",IFERROR(INDEX(Pacientes!$Q:$Q,MATCH(D308,Pacientes!$A:$A,0))&amp;"","ID no existe"))</f>
        <v/>
      </c>
      <c r="F308" s="14" t="str">
        <f aca="false">IF(D308="","",IFERROR(INDEX(Pacientes!$D:$D,MATCH(D308,Pacientes!$A:$A,0))&amp;"","ID no existe"))</f>
        <v/>
      </c>
      <c r="G308" s="14" t="str">
        <f aca="false">IF(D308="","",IFERROR(INDEX(Pacientes!$E:$E,MATCH(D308,Pacientes!$A:$A,0))&amp;"","ID no existe"))</f>
        <v/>
      </c>
      <c r="H308" s="9"/>
      <c r="I308" s="6"/>
      <c r="J308" s="6"/>
      <c r="K308" s="6"/>
      <c r="L308" s="7"/>
      <c r="M308" s="7"/>
      <c r="N308" s="6"/>
      <c r="O308" s="6"/>
    </row>
    <row r="309" customFormat="false" ht="15" hidden="false" customHeight="false" outlineLevel="0" collapsed="false">
      <c r="A309" s="6"/>
      <c r="B309" s="10"/>
      <c r="C309" s="16" t="str">
        <f aca="false">IF(B309="","",DATE(YEAR(B309),MONTH(B309),1))</f>
        <v/>
      </c>
      <c r="D309" s="6"/>
      <c r="E309" s="14" t="str">
        <f aca="false">IF(D309="","",IFERROR(INDEX(Pacientes!$Q:$Q,MATCH(D309,Pacientes!$A:$A,0))&amp;"","ID no existe"))</f>
        <v/>
      </c>
      <c r="F309" s="14" t="str">
        <f aca="false">IF(D309="","",IFERROR(INDEX(Pacientes!$D:$D,MATCH(D309,Pacientes!$A:$A,0))&amp;"","ID no existe"))</f>
        <v/>
      </c>
      <c r="G309" s="14" t="str">
        <f aca="false">IF(D309="","",IFERROR(INDEX(Pacientes!$E:$E,MATCH(D309,Pacientes!$A:$A,0))&amp;"","ID no existe"))</f>
        <v/>
      </c>
      <c r="H309" s="9"/>
      <c r="I309" s="6"/>
      <c r="J309" s="6"/>
      <c r="K309" s="6"/>
      <c r="L309" s="7"/>
      <c r="M309" s="7"/>
      <c r="N309" s="6"/>
      <c r="O309" s="6"/>
    </row>
    <row r="310" customFormat="false" ht="15" hidden="false" customHeight="false" outlineLevel="0" collapsed="false">
      <c r="A310" s="6"/>
      <c r="B310" s="10"/>
      <c r="C310" s="16" t="str">
        <f aca="false">IF(B310="","",DATE(YEAR(B310),MONTH(B310),1))</f>
        <v/>
      </c>
      <c r="D310" s="6"/>
      <c r="E310" s="14" t="str">
        <f aca="false">IF(D310="","",IFERROR(INDEX(Pacientes!$Q:$Q,MATCH(D310,Pacientes!$A:$A,0))&amp;"","ID no existe"))</f>
        <v/>
      </c>
      <c r="F310" s="14" t="str">
        <f aca="false">IF(D310="","",IFERROR(INDEX(Pacientes!$D:$D,MATCH(D310,Pacientes!$A:$A,0))&amp;"","ID no existe"))</f>
        <v/>
      </c>
      <c r="G310" s="14" t="str">
        <f aca="false">IF(D310="","",IFERROR(INDEX(Pacientes!$E:$E,MATCH(D310,Pacientes!$A:$A,0))&amp;"","ID no existe"))</f>
        <v/>
      </c>
      <c r="H310" s="9"/>
      <c r="I310" s="6"/>
      <c r="J310" s="6"/>
      <c r="K310" s="6"/>
      <c r="L310" s="7"/>
      <c r="M310" s="7"/>
      <c r="N310" s="6"/>
      <c r="O310" s="6"/>
    </row>
    <row r="311" customFormat="false" ht="15" hidden="false" customHeight="false" outlineLevel="0" collapsed="false">
      <c r="A311" s="6"/>
      <c r="B311" s="10"/>
      <c r="C311" s="16" t="str">
        <f aca="false">IF(B311="","",DATE(YEAR(B311),MONTH(B311),1))</f>
        <v/>
      </c>
      <c r="D311" s="6"/>
      <c r="E311" s="14" t="str">
        <f aca="false">IF(D311="","",IFERROR(INDEX(Pacientes!$Q:$Q,MATCH(D311,Pacientes!$A:$A,0))&amp;"","ID no existe"))</f>
        <v/>
      </c>
      <c r="F311" s="14" t="str">
        <f aca="false">IF(D311="","",IFERROR(INDEX(Pacientes!$D:$D,MATCH(D311,Pacientes!$A:$A,0))&amp;"","ID no existe"))</f>
        <v/>
      </c>
      <c r="G311" s="14" t="str">
        <f aca="false">IF(D311="","",IFERROR(INDEX(Pacientes!$E:$E,MATCH(D311,Pacientes!$A:$A,0))&amp;"","ID no existe"))</f>
        <v/>
      </c>
      <c r="H311" s="9"/>
      <c r="I311" s="6"/>
      <c r="J311" s="6"/>
      <c r="K311" s="6"/>
      <c r="L311" s="7"/>
      <c r="M311" s="7"/>
      <c r="N311" s="6"/>
      <c r="O311" s="6"/>
    </row>
    <row r="312" customFormat="false" ht="15" hidden="false" customHeight="false" outlineLevel="0" collapsed="false">
      <c r="A312" s="6"/>
      <c r="B312" s="10"/>
      <c r="C312" s="16" t="str">
        <f aca="false">IF(B312="","",DATE(YEAR(B312),MONTH(B312),1))</f>
        <v/>
      </c>
      <c r="D312" s="6"/>
      <c r="E312" s="14" t="str">
        <f aca="false">IF(D312="","",IFERROR(INDEX(Pacientes!$Q:$Q,MATCH(D312,Pacientes!$A:$A,0))&amp;"","ID no existe"))</f>
        <v/>
      </c>
      <c r="F312" s="14" t="str">
        <f aca="false">IF(D312="","",IFERROR(INDEX(Pacientes!$D:$D,MATCH(D312,Pacientes!$A:$A,0))&amp;"","ID no existe"))</f>
        <v/>
      </c>
      <c r="G312" s="14" t="str">
        <f aca="false">IF(D312="","",IFERROR(INDEX(Pacientes!$E:$E,MATCH(D312,Pacientes!$A:$A,0))&amp;"","ID no existe"))</f>
        <v/>
      </c>
      <c r="H312" s="9"/>
      <c r="I312" s="6"/>
      <c r="J312" s="6"/>
      <c r="K312" s="6"/>
      <c r="L312" s="7"/>
      <c r="M312" s="7"/>
      <c r="N312" s="6"/>
      <c r="O312" s="6"/>
    </row>
    <row r="313" customFormat="false" ht="15" hidden="false" customHeight="false" outlineLevel="0" collapsed="false">
      <c r="A313" s="6"/>
      <c r="B313" s="10"/>
      <c r="C313" s="16" t="str">
        <f aca="false">IF(B313="","",DATE(YEAR(B313),MONTH(B313),1))</f>
        <v/>
      </c>
      <c r="D313" s="6"/>
      <c r="E313" s="14" t="str">
        <f aca="false">IF(D313="","",IFERROR(INDEX(Pacientes!$Q:$Q,MATCH(D313,Pacientes!$A:$A,0))&amp;"","ID no existe"))</f>
        <v/>
      </c>
      <c r="F313" s="14" t="str">
        <f aca="false">IF(D313="","",IFERROR(INDEX(Pacientes!$D:$D,MATCH(D313,Pacientes!$A:$A,0))&amp;"","ID no existe"))</f>
        <v/>
      </c>
      <c r="G313" s="14" t="str">
        <f aca="false">IF(D313="","",IFERROR(INDEX(Pacientes!$E:$E,MATCH(D313,Pacientes!$A:$A,0))&amp;"","ID no existe"))</f>
        <v/>
      </c>
      <c r="H313" s="9"/>
      <c r="I313" s="6"/>
      <c r="J313" s="6"/>
      <c r="K313" s="6"/>
      <c r="L313" s="7"/>
      <c r="M313" s="7"/>
      <c r="N313" s="6"/>
      <c r="O313" s="6"/>
    </row>
    <row r="314" customFormat="false" ht="15" hidden="false" customHeight="false" outlineLevel="0" collapsed="false">
      <c r="A314" s="6"/>
      <c r="B314" s="10"/>
      <c r="C314" s="16" t="str">
        <f aca="false">IF(B314="","",DATE(YEAR(B314),MONTH(B314),1))</f>
        <v/>
      </c>
      <c r="D314" s="6"/>
      <c r="E314" s="14" t="str">
        <f aca="false">IF(D314="","",IFERROR(INDEX(Pacientes!$Q:$Q,MATCH(D314,Pacientes!$A:$A,0))&amp;"","ID no existe"))</f>
        <v/>
      </c>
      <c r="F314" s="14" t="str">
        <f aca="false">IF(D314="","",IFERROR(INDEX(Pacientes!$D:$D,MATCH(D314,Pacientes!$A:$A,0))&amp;"","ID no existe"))</f>
        <v/>
      </c>
      <c r="G314" s="14" t="str">
        <f aca="false">IF(D314="","",IFERROR(INDEX(Pacientes!$E:$E,MATCH(D314,Pacientes!$A:$A,0))&amp;"","ID no existe"))</f>
        <v/>
      </c>
      <c r="H314" s="9"/>
      <c r="I314" s="6"/>
      <c r="J314" s="6"/>
      <c r="K314" s="6"/>
      <c r="L314" s="7"/>
      <c r="M314" s="7"/>
      <c r="N314" s="6"/>
      <c r="O314" s="6"/>
    </row>
    <row r="315" customFormat="false" ht="15" hidden="false" customHeight="false" outlineLevel="0" collapsed="false">
      <c r="A315" s="6"/>
      <c r="B315" s="10"/>
      <c r="C315" s="16" t="str">
        <f aca="false">IF(B315="","",DATE(YEAR(B315),MONTH(B315),1))</f>
        <v/>
      </c>
      <c r="D315" s="6"/>
      <c r="E315" s="14" t="str">
        <f aca="false">IF(D315="","",IFERROR(INDEX(Pacientes!$Q:$Q,MATCH(D315,Pacientes!$A:$A,0))&amp;"","ID no existe"))</f>
        <v/>
      </c>
      <c r="F315" s="14" t="str">
        <f aca="false">IF(D315="","",IFERROR(INDEX(Pacientes!$D:$D,MATCH(D315,Pacientes!$A:$A,0))&amp;"","ID no existe"))</f>
        <v/>
      </c>
      <c r="G315" s="14" t="str">
        <f aca="false">IF(D315="","",IFERROR(INDEX(Pacientes!$E:$E,MATCH(D315,Pacientes!$A:$A,0))&amp;"","ID no existe"))</f>
        <v/>
      </c>
      <c r="H315" s="9"/>
      <c r="I315" s="6"/>
      <c r="J315" s="6"/>
      <c r="K315" s="6"/>
      <c r="L315" s="7"/>
      <c r="M315" s="7"/>
      <c r="N315" s="6"/>
      <c r="O315" s="6"/>
    </row>
    <row r="316" customFormat="false" ht="15" hidden="false" customHeight="false" outlineLevel="0" collapsed="false">
      <c r="A316" s="6"/>
      <c r="B316" s="10"/>
      <c r="C316" s="16" t="str">
        <f aca="false">IF(B316="","",DATE(YEAR(B316),MONTH(B316),1))</f>
        <v/>
      </c>
      <c r="D316" s="6"/>
      <c r="E316" s="14" t="str">
        <f aca="false">IF(D316="","",IFERROR(INDEX(Pacientes!$Q:$Q,MATCH(D316,Pacientes!$A:$A,0))&amp;"","ID no existe"))</f>
        <v/>
      </c>
      <c r="F316" s="14" t="str">
        <f aca="false">IF(D316="","",IFERROR(INDEX(Pacientes!$D:$D,MATCH(D316,Pacientes!$A:$A,0))&amp;"","ID no existe"))</f>
        <v/>
      </c>
      <c r="G316" s="14" t="str">
        <f aca="false">IF(D316="","",IFERROR(INDEX(Pacientes!$E:$E,MATCH(D316,Pacientes!$A:$A,0))&amp;"","ID no existe"))</f>
        <v/>
      </c>
      <c r="H316" s="9"/>
      <c r="I316" s="6"/>
      <c r="J316" s="6"/>
      <c r="K316" s="6"/>
      <c r="L316" s="7"/>
      <c r="M316" s="7"/>
      <c r="N316" s="6"/>
      <c r="O316" s="6"/>
    </row>
    <row r="317" customFormat="false" ht="15" hidden="false" customHeight="false" outlineLevel="0" collapsed="false">
      <c r="A317" s="6"/>
      <c r="B317" s="10"/>
      <c r="C317" s="16" t="str">
        <f aca="false">IF(B317="","",DATE(YEAR(B317),MONTH(B317),1))</f>
        <v/>
      </c>
      <c r="D317" s="6"/>
      <c r="E317" s="14" t="str">
        <f aca="false">IF(D317="","",IFERROR(INDEX(Pacientes!$Q:$Q,MATCH(D317,Pacientes!$A:$A,0))&amp;"","ID no existe"))</f>
        <v/>
      </c>
      <c r="F317" s="14" t="str">
        <f aca="false">IF(D317="","",IFERROR(INDEX(Pacientes!$D:$D,MATCH(D317,Pacientes!$A:$A,0))&amp;"","ID no existe"))</f>
        <v/>
      </c>
      <c r="G317" s="14" t="str">
        <f aca="false">IF(D317="","",IFERROR(INDEX(Pacientes!$E:$E,MATCH(D317,Pacientes!$A:$A,0))&amp;"","ID no existe"))</f>
        <v/>
      </c>
      <c r="H317" s="9"/>
      <c r="I317" s="6"/>
      <c r="J317" s="6"/>
      <c r="K317" s="6"/>
      <c r="L317" s="7"/>
      <c r="M317" s="7"/>
      <c r="N317" s="6"/>
      <c r="O317" s="6"/>
    </row>
    <row r="318" customFormat="false" ht="15" hidden="false" customHeight="false" outlineLevel="0" collapsed="false">
      <c r="A318" s="6"/>
      <c r="B318" s="10"/>
      <c r="C318" s="16" t="str">
        <f aca="false">IF(B318="","",DATE(YEAR(B318),MONTH(B318),1))</f>
        <v/>
      </c>
      <c r="D318" s="6"/>
      <c r="E318" s="14" t="str">
        <f aca="false">IF(D318="","",IFERROR(INDEX(Pacientes!$Q:$Q,MATCH(D318,Pacientes!$A:$A,0))&amp;"","ID no existe"))</f>
        <v/>
      </c>
      <c r="F318" s="14" t="str">
        <f aca="false">IF(D318="","",IFERROR(INDEX(Pacientes!$D:$D,MATCH(D318,Pacientes!$A:$A,0))&amp;"","ID no existe"))</f>
        <v/>
      </c>
      <c r="G318" s="14" t="str">
        <f aca="false">IF(D318="","",IFERROR(INDEX(Pacientes!$E:$E,MATCH(D318,Pacientes!$A:$A,0))&amp;"","ID no existe"))</f>
        <v/>
      </c>
      <c r="H318" s="9"/>
      <c r="I318" s="6"/>
      <c r="J318" s="6"/>
      <c r="K318" s="6"/>
      <c r="L318" s="7"/>
      <c r="M318" s="7"/>
      <c r="N318" s="6"/>
      <c r="O318" s="6"/>
    </row>
    <row r="319" customFormat="false" ht="15" hidden="false" customHeight="false" outlineLevel="0" collapsed="false">
      <c r="A319" s="6"/>
      <c r="B319" s="10"/>
      <c r="C319" s="16" t="str">
        <f aca="false">IF(B319="","",DATE(YEAR(B319),MONTH(B319),1))</f>
        <v/>
      </c>
      <c r="D319" s="6"/>
      <c r="E319" s="14" t="str">
        <f aca="false">IF(D319="","",IFERROR(INDEX(Pacientes!$Q:$Q,MATCH(D319,Pacientes!$A:$A,0))&amp;"","ID no existe"))</f>
        <v/>
      </c>
      <c r="F319" s="14" t="str">
        <f aca="false">IF(D319="","",IFERROR(INDEX(Pacientes!$D:$D,MATCH(D319,Pacientes!$A:$A,0))&amp;"","ID no existe"))</f>
        <v/>
      </c>
      <c r="G319" s="14" t="str">
        <f aca="false">IF(D319="","",IFERROR(INDEX(Pacientes!$E:$E,MATCH(D319,Pacientes!$A:$A,0))&amp;"","ID no existe"))</f>
        <v/>
      </c>
      <c r="H319" s="9"/>
      <c r="I319" s="6"/>
      <c r="J319" s="6"/>
      <c r="K319" s="6"/>
      <c r="L319" s="7"/>
      <c r="M319" s="7"/>
      <c r="N319" s="6"/>
      <c r="O319" s="6"/>
    </row>
    <row r="320" customFormat="false" ht="15" hidden="false" customHeight="false" outlineLevel="0" collapsed="false">
      <c r="A320" s="6"/>
      <c r="B320" s="10"/>
      <c r="C320" s="16" t="str">
        <f aca="false">IF(B320="","",DATE(YEAR(B320),MONTH(B320),1))</f>
        <v/>
      </c>
      <c r="D320" s="6"/>
      <c r="E320" s="14" t="str">
        <f aca="false">IF(D320="","",IFERROR(INDEX(Pacientes!$Q:$Q,MATCH(D320,Pacientes!$A:$A,0))&amp;"","ID no existe"))</f>
        <v/>
      </c>
      <c r="F320" s="14" t="str">
        <f aca="false">IF(D320="","",IFERROR(INDEX(Pacientes!$D:$D,MATCH(D320,Pacientes!$A:$A,0))&amp;"","ID no existe"))</f>
        <v/>
      </c>
      <c r="G320" s="14" t="str">
        <f aca="false">IF(D320="","",IFERROR(INDEX(Pacientes!$E:$E,MATCH(D320,Pacientes!$A:$A,0))&amp;"","ID no existe"))</f>
        <v/>
      </c>
      <c r="H320" s="9"/>
      <c r="I320" s="6"/>
      <c r="J320" s="6"/>
      <c r="K320" s="6"/>
      <c r="L320" s="7"/>
      <c r="M320" s="7"/>
      <c r="N320" s="6"/>
      <c r="O320" s="6"/>
    </row>
    <row r="321" customFormat="false" ht="15" hidden="false" customHeight="false" outlineLevel="0" collapsed="false">
      <c r="A321" s="6"/>
      <c r="B321" s="10"/>
      <c r="C321" s="16" t="str">
        <f aca="false">IF(B321="","",DATE(YEAR(B321),MONTH(B321),1))</f>
        <v/>
      </c>
      <c r="D321" s="6"/>
      <c r="E321" s="14" t="str">
        <f aca="false">IF(D321="","",IFERROR(INDEX(Pacientes!$Q:$Q,MATCH(D321,Pacientes!$A:$A,0))&amp;"","ID no existe"))</f>
        <v/>
      </c>
      <c r="F321" s="14" t="str">
        <f aca="false">IF(D321="","",IFERROR(INDEX(Pacientes!$D:$D,MATCH(D321,Pacientes!$A:$A,0))&amp;"","ID no existe"))</f>
        <v/>
      </c>
      <c r="G321" s="14" t="str">
        <f aca="false">IF(D321="","",IFERROR(INDEX(Pacientes!$E:$E,MATCH(D321,Pacientes!$A:$A,0))&amp;"","ID no existe"))</f>
        <v/>
      </c>
      <c r="H321" s="9"/>
      <c r="I321" s="6"/>
      <c r="J321" s="6"/>
      <c r="K321" s="6"/>
      <c r="L321" s="7"/>
      <c r="M321" s="7"/>
      <c r="N321" s="6"/>
      <c r="O321" s="6"/>
    </row>
    <row r="322" customFormat="false" ht="15" hidden="false" customHeight="false" outlineLevel="0" collapsed="false">
      <c r="A322" s="6"/>
      <c r="B322" s="10"/>
      <c r="C322" s="16" t="str">
        <f aca="false">IF(B322="","",DATE(YEAR(B322),MONTH(B322),1))</f>
        <v/>
      </c>
      <c r="D322" s="6"/>
      <c r="E322" s="14" t="str">
        <f aca="false">IF(D322="","",IFERROR(INDEX(Pacientes!$Q:$Q,MATCH(D322,Pacientes!$A:$A,0))&amp;"","ID no existe"))</f>
        <v/>
      </c>
      <c r="F322" s="14" t="str">
        <f aca="false">IF(D322="","",IFERROR(INDEX(Pacientes!$D:$D,MATCH(D322,Pacientes!$A:$A,0))&amp;"","ID no existe"))</f>
        <v/>
      </c>
      <c r="G322" s="14" t="str">
        <f aca="false">IF(D322="","",IFERROR(INDEX(Pacientes!$E:$E,MATCH(D322,Pacientes!$A:$A,0))&amp;"","ID no existe"))</f>
        <v/>
      </c>
      <c r="H322" s="9"/>
      <c r="I322" s="6"/>
      <c r="J322" s="6"/>
      <c r="K322" s="6"/>
      <c r="L322" s="7"/>
      <c r="M322" s="7"/>
      <c r="N322" s="6"/>
      <c r="O322" s="6"/>
    </row>
    <row r="323" customFormat="false" ht="15" hidden="false" customHeight="false" outlineLevel="0" collapsed="false">
      <c r="A323" s="6"/>
      <c r="B323" s="10"/>
      <c r="C323" s="16" t="str">
        <f aca="false">IF(B323="","",DATE(YEAR(B323),MONTH(B323),1))</f>
        <v/>
      </c>
      <c r="D323" s="6"/>
      <c r="E323" s="14" t="str">
        <f aca="false">IF(D323="","",IFERROR(INDEX(Pacientes!$Q:$Q,MATCH(D323,Pacientes!$A:$A,0))&amp;"","ID no existe"))</f>
        <v/>
      </c>
      <c r="F323" s="14" t="str">
        <f aca="false">IF(D323="","",IFERROR(INDEX(Pacientes!$D:$D,MATCH(D323,Pacientes!$A:$A,0))&amp;"","ID no existe"))</f>
        <v/>
      </c>
      <c r="G323" s="14" t="str">
        <f aca="false">IF(D323="","",IFERROR(INDEX(Pacientes!$E:$E,MATCH(D323,Pacientes!$A:$A,0))&amp;"","ID no existe"))</f>
        <v/>
      </c>
      <c r="H323" s="9"/>
      <c r="I323" s="6"/>
      <c r="J323" s="6"/>
      <c r="K323" s="6"/>
      <c r="L323" s="7"/>
      <c r="M323" s="7"/>
      <c r="N323" s="6"/>
      <c r="O323" s="6"/>
    </row>
    <row r="324" customFormat="false" ht="15" hidden="false" customHeight="false" outlineLevel="0" collapsed="false">
      <c r="A324" s="6"/>
      <c r="B324" s="10"/>
      <c r="C324" s="16" t="str">
        <f aca="false">IF(B324="","",DATE(YEAR(B324),MONTH(B324),1))</f>
        <v/>
      </c>
      <c r="D324" s="6"/>
      <c r="E324" s="14" t="str">
        <f aca="false">IF(D324="","",IFERROR(INDEX(Pacientes!$Q:$Q,MATCH(D324,Pacientes!$A:$A,0))&amp;"","ID no existe"))</f>
        <v/>
      </c>
      <c r="F324" s="14" t="str">
        <f aca="false">IF(D324="","",IFERROR(INDEX(Pacientes!$D:$D,MATCH(D324,Pacientes!$A:$A,0))&amp;"","ID no existe"))</f>
        <v/>
      </c>
      <c r="G324" s="14" t="str">
        <f aca="false">IF(D324="","",IFERROR(INDEX(Pacientes!$E:$E,MATCH(D324,Pacientes!$A:$A,0))&amp;"","ID no existe"))</f>
        <v/>
      </c>
      <c r="H324" s="9"/>
      <c r="I324" s="6"/>
      <c r="J324" s="6"/>
      <c r="K324" s="6"/>
      <c r="L324" s="7"/>
      <c r="M324" s="7"/>
      <c r="N324" s="6"/>
      <c r="O324" s="6"/>
    </row>
    <row r="325" customFormat="false" ht="15" hidden="false" customHeight="false" outlineLevel="0" collapsed="false">
      <c r="A325" s="6"/>
      <c r="B325" s="10"/>
      <c r="C325" s="16" t="str">
        <f aca="false">IF(B325="","",DATE(YEAR(B325),MONTH(B325),1))</f>
        <v/>
      </c>
      <c r="D325" s="6"/>
      <c r="E325" s="14" t="str">
        <f aca="false">IF(D325="","",IFERROR(INDEX(Pacientes!$Q:$Q,MATCH(D325,Pacientes!$A:$A,0))&amp;"","ID no existe"))</f>
        <v/>
      </c>
      <c r="F325" s="14" t="str">
        <f aca="false">IF(D325="","",IFERROR(INDEX(Pacientes!$D:$D,MATCH(D325,Pacientes!$A:$A,0))&amp;"","ID no existe"))</f>
        <v/>
      </c>
      <c r="G325" s="14" t="str">
        <f aca="false">IF(D325="","",IFERROR(INDEX(Pacientes!$E:$E,MATCH(D325,Pacientes!$A:$A,0))&amp;"","ID no existe"))</f>
        <v/>
      </c>
      <c r="H325" s="9"/>
      <c r="I325" s="6"/>
      <c r="J325" s="6"/>
      <c r="K325" s="6"/>
      <c r="L325" s="7"/>
      <c r="M325" s="7"/>
      <c r="N325" s="6"/>
      <c r="O325" s="6"/>
    </row>
    <row r="326" customFormat="false" ht="15" hidden="false" customHeight="false" outlineLevel="0" collapsed="false">
      <c r="A326" s="6"/>
      <c r="B326" s="10"/>
      <c r="C326" s="16" t="str">
        <f aca="false">IF(B326="","",DATE(YEAR(B326),MONTH(B326),1))</f>
        <v/>
      </c>
      <c r="D326" s="6"/>
      <c r="E326" s="14" t="str">
        <f aca="false">IF(D326="","",IFERROR(INDEX(Pacientes!$Q:$Q,MATCH(D326,Pacientes!$A:$A,0))&amp;"","ID no existe"))</f>
        <v/>
      </c>
      <c r="F326" s="14" t="str">
        <f aca="false">IF(D326="","",IFERROR(INDEX(Pacientes!$D:$D,MATCH(D326,Pacientes!$A:$A,0))&amp;"","ID no existe"))</f>
        <v/>
      </c>
      <c r="G326" s="14" t="str">
        <f aca="false">IF(D326="","",IFERROR(INDEX(Pacientes!$E:$E,MATCH(D326,Pacientes!$A:$A,0))&amp;"","ID no existe"))</f>
        <v/>
      </c>
      <c r="H326" s="9"/>
      <c r="I326" s="6"/>
      <c r="J326" s="6"/>
      <c r="K326" s="6"/>
      <c r="L326" s="7"/>
      <c r="M326" s="7"/>
      <c r="N326" s="6"/>
      <c r="O326" s="6"/>
    </row>
    <row r="327" customFormat="false" ht="15" hidden="false" customHeight="false" outlineLevel="0" collapsed="false">
      <c r="A327" s="6"/>
      <c r="B327" s="10"/>
      <c r="C327" s="16" t="str">
        <f aca="false">IF(B327="","",DATE(YEAR(B327),MONTH(B327),1))</f>
        <v/>
      </c>
      <c r="D327" s="6"/>
      <c r="E327" s="14" t="str">
        <f aca="false">IF(D327="","",IFERROR(INDEX(Pacientes!$Q:$Q,MATCH(D327,Pacientes!$A:$A,0))&amp;"","ID no existe"))</f>
        <v/>
      </c>
      <c r="F327" s="14" t="str">
        <f aca="false">IF(D327="","",IFERROR(INDEX(Pacientes!$D:$D,MATCH(D327,Pacientes!$A:$A,0))&amp;"","ID no existe"))</f>
        <v/>
      </c>
      <c r="G327" s="14" t="str">
        <f aca="false">IF(D327="","",IFERROR(INDEX(Pacientes!$E:$E,MATCH(D327,Pacientes!$A:$A,0))&amp;"","ID no existe"))</f>
        <v/>
      </c>
      <c r="H327" s="9"/>
      <c r="I327" s="6"/>
      <c r="J327" s="6"/>
      <c r="K327" s="6"/>
      <c r="L327" s="7"/>
      <c r="M327" s="7"/>
      <c r="N327" s="6"/>
      <c r="O327" s="6"/>
    </row>
    <row r="328" customFormat="false" ht="15" hidden="false" customHeight="false" outlineLevel="0" collapsed="false">
      <c r="A328" s="6"/>
      <c r="B328" s="10"/>
      <c r="C328" s="16" t="str">
        <f aca="false">IF(B328="","",DATE(YEAR(B328),MONTH(B328),1))</f>
        <v/>
      </c>
      <c r="D328" s="6"/>
      <c r="E328" s="14" t="str">
        <f aca="false">IF(D328="","",IFERROR(INDEX(Pacientes!$Q:$Q,MATCH(D328,Pacientes!$A:$A,0))&amp;"","ID no existe"))</f>
        <v/>
      </c>
      <c r="F328" s="14" t="str">
        <f aca="false">IF(D328="","",IFERROR(INDEX(Pacientes!$D:$D,MATCH(D328,Pacientes!$A:$A,0))&amp;"","ID no existe"))</f>
        <v/>
      </c>
      <c r="G328" s="14" t="str">
        <f aca="false">IF(D328="","",IFERROR(INDEX(Pacientes!$E:$E,MATCH(D328,Pacientes!$A:$A,0))&amp;"","ID no existe"))</f>
        <v/>
      </c>
      <c r="H328" s="9"/>
      <c r="I328" s="6"/>
      <c r="J328" s="6"/>
      <c r="K328" s="6"/>
      <c r="L328" s="7"/>
      <c r="M328" s="7"/>
      <c r="N328" s="6"/>
      <c r="O328" s="6"/>
    </row>
    <row r="329" customFormat="false" ht="15" hidden="false" customHeight="false" outlineLevel="0" collapsed="false">
      <c r="A329" s="6"/>
      <c r="B329" s="10"/>
      <c r="C329" s="16" t="str">
        <f aca="false">IF(B329="","",DATE(YEAR(B329),MONTH(B329),1))</f>
        <v/>
      </c>
      <c r="D329" s="6"/>
      <c r="E329" s="14" t="str">
        <f aca="false">IF(D329="","",IFERROR(INDEX(Pacientes!$Q:$Q,MATCH(D329,Pacientes!$A:$A,0))&amp;"","ID no existe"))</f>
        <v/>
      </c>
      <c r="F329" s="14" t="str">
        <f aca="false">IF(D329="","",IFERROR(INDEX(Pacientes!$D:$D,MATCH(D329,Pacientes!$A:$A,0))&amp;"","ID no existe"))</f>
        <v/>
      </c>
      <c r="G329" s="14" t="str">
        <f aca="false">IF(D329="","",IFERROR(INDEX(Pacientes!$E:$E,MATCH(D329,Pacientes!$A:$A,0))&amp;"","ID no existe"))</f>
        <v/>
      </c>
      <c r="H329" s="9"/>
      <c r="I329" s="6"/>
      <c r="J329" s="6"/>
      <c r="K329" s="6"/>
      <c r="L329" s="7"/>
      <c r="M329" s="7"/>
      <c r="N329" s="6"/>
      <c r="O329" s="6"/>
    </row>
    <row r="330" customFormat="false" ht="15" hidden="false" customHeight="false" outlineLevel="0" collapsed="false">
      <c r="A330" s="6"/>
      <c r="B330" s="10"/>
      <c r="C330" s="16" t="str">
        <f aca="false">IF(B330="","",DATE(YEAR(B330),MONTH(B330),1))</f>
        <v/>
      </c>
      <c r="D330" s="6"/>
      <c r="E330" s="14" t="str">
        <f aca="false">IF(D330="","",IFERROR(INDEX(Pacientes!$Q:$Q,MATCH(D330,Pacientes!$A:$A,0))&amp;"","ID no existe"))</f>
        <v/>
      </c>
      <c r="F330" s="14" t="str">
        <f aca="false">IF(D330="","",IFERROR(INDEX(Pacientes!$D:$D,MATCH(D330,Pacientes!$A:$A,0))&amp;"","ID no existe"))</f>
        <v/>
      </c>
      <c r="G330" s="14" t="str">
        <f aca="false">IF(D330="","",IFERROR(INDEX(Pacientes!$E:$E,MATCH(D330,Pacientes!$A:$A,0))&amp;"","ID no existe"))</f>
        <v/>
      </c>
      <c r="H330" s="9"/>
      <c r="I330" s="6"/>
      <c r="J330" s="6"/>
      <c r="K330" s="6"/>
      <c r="L330" s="7"/>
      <c r="M330" s="7"/>
      <c r="N330" s="6"/>
      <c r="O330" s="6"/>
    </row>
    <row r="331" customFormat="false" ht="15" hidden="false" customHeight="false" outlineLevel="0" collapsed="false">
      <c r="A331" s="6"/>
      <c r="B331" s="10"/>
      <c r="C331" s="16" t="str">
        <f aca="false">IF(B331="","",DATE(YEAR(B331),MONTH(B331),1))</f>
        <v/>
      </c>
      <c r="D331" s="6"/>
      <c r="E331" s="14" t="str">
        <f aca="false">IF(D331="","",IFERROR(INDEX(Pacientes!$Q:$Q,MATCH(D331,Pacientes!$A:$A,0))&amp;"","ID no existe"))</f>
        <v/>
      </c>
      <c r="F331" s="14" t="str">
        <f aca="false">IF(D331="","",IFERROR(INDEX(Pacientes!$D:$D,MATCH(D331,Pacientes!$A:$A,0))&amp;"","ID no existe"))</f>
        <v/>
      </c>
      <c r="G331" s="14" t="str">
        <f aca="false">IF(D331="","",IFERROR(INDEX(Pacientes!$E:$E,MATCH(D331,Pacientes!$A:$A,0))&amp;"","ID no existe"))</f>
        <v/>
      </c>
      <c r="H331" s="9"/>
      <c r="I331" s="6"/>
      <c r="J331" s="6"/>
      <c r="K331" s="6"/>
      <c r="L331" s="7"/>
      <c r="M331" s="7"/>
      <c r="N331" s="6"/>
      <c r="O331" s="6"/>
    </row>
    <row r="332" customFormat="false" ht="15" hidden="false" customHeight="false" outlineLevel="0" collapsed="false">
      <c r="A332" s="6"/>
      <c r="B332" s="10"/>
      <c r="C332" s="16" t="str">
        <f aca="false">IF(B332="","",DATE(YEAR(B332),MONTH(B332),1))</f>
        <v/>
      </c>
      <c r="D332" s="6"/>
      <c r="E332" s="14" t="str">
        <f aca="false">IF(D332="","",IFERROR(INDEX(Pacientes!$Q:$Q,MATCH(D332,Pacientes!$A:$A,0))&amp;"","ID no existe"))</f>
        <v/>
      </c>
      <c r="F332" s="14" t="str">
        <f aca="false">IF(D332="","",IFERROR(INDEX(Pacientes!$D:$D,MATCH(D332,Pacientes!$A:$A,0))&amp;"","ID no existe"))</f>
        <v/>
      </c>
      <c r="G332" s="14" t="str">
        <f aca="false">IF(D332="","",IFERROR(INDEX(Pacientes!$E:$E,MATCH(D332,Pacientes!$A:$A,0))&amp;"","ID no existe"))</f>
        <v/>
      </c>
      <c r="H332" s="9"/>
      <c r="I332" s="6"/>
      <c r="J332" s="6"/>
      <c r="K332" s="6"/>
      <c r="L332" s="7"/>
      <c r="M332" s="7"/>
      <c r="N332" s="6"/>
      <c r="O332" s="6"/>
    </row>
    <row r="333" customFormat="false" ht="15" hidden="false" customHeight="false" outlineLevel="0" collapsed="false">
      <c r="A333" s="6"/>
      <c r="B333" s="10"/>
      <c r="C333" s="16" t="str">
        <f aca="false">IF(B333="","",DATE(YEAR(B333),MONTH(B333),1))</f>
        <v/>
      </c>
      <c r="D333" s="6"/>
      <c r="E333" s="14" t="str">
        <f aca="false">IF(D333="","",IFERROR(INDEX(Pacientes!$Q:$Q,MATCH(D333,Pacientes!$A:$A,0))&amp;"","ID no existe"))</f>
        <v/>
      </c>
      <c r="F333" s="14" t="str">
        <f aca="false">IF(D333="","",IFERROR(INDEX(Pacientes!$D:$D,MATCH(D333,Pacientes!$A:$A,0))&amp;"","ID no existe"))</f>
        <v/>
      </c>
      <c r="G333" s="14" t="str">
        <f aca="false">IF(D333="","",IFERROR(INDEX(Pacientes!$E:$E,MATCH(D333,Pacientes!$A:$A,0))&amp;"","ID no existe"))</f>
        <v/>
      </c>
      <c r="H333" s="9"/>
      <c r="I333" s="6"/>
      <c r="J333" s="6"/>
      <c r="K333" s="6"/>
      <c r="L333" s="7"/>
      <c r="M333" s="7"/>
      <c r="N333" s="6"/>
      <c r="O333" s="6"/>
    </row>
    <row r="334" customFormat="false" ht="15" hidden="false" customHeight="false" outlineLevel="0" collapsed="false">
      <c r="A334" s="6"/>
      <c r="B334" s="10"/>
      <c r="C334" s="16" t="str">
        <f aca="false">IF(B334="","",DATE(YEAR(B334),MONTH(B334),1))</f>
        <v/>
      </c>
      <c r="D334" s="6"/>
      <c r="E334" s="14" t="str">
        <f aca="false">IF(D334="","",IFERROR(INDEX(Pacientes!$Q:$Q,MATCH(D334,Pacientes!$A:$A,0))&amp;"","ID no existe"))</f>
        <v/>
      </c>
      <c r="F334" s="14" t="str">
        <f aca="false">IF(D334="","",IFERROR(INDEX(Pacientes!$D:$D,MATCH(D334,Pacientes!$A:$A,0))&amp;"","ID no existe"))</f>
        <v/>
      </c>
      <c r="G334" s="14" t="str">
        <f aca="false">IF(D334="","",IFERROR(INDEX(Pacientes!$E:$E,MATCH(D334,Pacientes!$A:$A,0))&amp;"","ID no existe"))</f>
        <v/>
      </c>
      <c r="H334" s="9"/>
      <c r="I334" s="6"/>
      <c r="J334" s="6"/>
      <c r="K334" s="6"/>
      <c r="L334" s="7"/>
      <c r="M334" s="7"/>
      <c r="N334" s="6"/>
      <c r="O334" s="6"/>
    </row>
    <row r="335" customFormat="false" ht="15" hidden="false" customHeight="false" outlineLevel="0" collapsed="false">
      <c r="A335" s="6"/>
      <c r="B335" s="10"/>
      <c r="C335" s="16" t="str">
        <f aca="false">IF(B335="","",DATE(YEAR(B335),MONTH(B335),1))</f>
        <v/>
      </c>
      <c r="D335" s="6"/>
      <c r="E335" s="14" t="str">
        <f aca="false">IF(D335="","",IFERROR(INDEX(Pacientes!$Q:$Q,MATCH(D335,Pacientes!$A:$A,0))&amp;"","ID no existe"))</f>
        <v/>
      </c>
      <c r="F335" s="14" t="str">
        <f aca="false">IF(D335="","",IFERROR(INDEX(Pacientes!$D:$D,MATCH(D335,Pacientes!$A:$A,0))&amp;"","ID no existe"))</f>
        <v/>
      </c>
      <c r="G335" s="14" t="str">
        <f aca="false">IF(D335="","",IFERROR(INDEX(Pacientes!$E:$E,MATCH(D335,Pacientes!$A:$A,0))&amp;"","ID no existe"))</f>
        <v/>
      </c>
      <c r="H335" s="9"/>
      <c r="I335" s="6"/>
      <c r="J335" s="6"/>
      <c r="K335" s="6"/>
      <c r="L335" s="7"/>
      <c r="M335" s="7"/>
      <c r="N335" s="6"/>
      <c r="O335" s="6"/>
    </row>
    <row r="336" customFormat="false" ht="15" hidden="false" customHeight="false" outlineLevel="0" collapsed="false">
      <c r="A336" s="6"/>
      <c r="B336" s="10"/>
      <c r="C336" s="16" t="str">
        <f aca="false">IF(B336="","",DATE(YEAR(B336),MONTH(B336),1))</f>
        <v/>
      </c>
      <c r="D336" s="6"/>
      <c r="E336" s="14" t="str">
        <f aca="false">IF(D336="","",IFERROR(INDEX(Pacientes!$Q:$Q,MATCH(D336,Pacientes!$A:$A,0))&amp;"","ID no existe"))</f>
        <v/>
      </c>
      <c r="F336" s="14" t="str">
        <f aca="false">IF(D336="","",IFERROR(INDEX(Pacientes!$D:$D,MATCH(D336,Pacientes!$A:$A,0))&amp;"","ID no existe"))</f>
        <v/>
      </c>
      <c r="G336" s="14" t="str">
        <f aca="false">IF(D336="","",IFERROR(INDEX(Pacientes!$E:$E,MATCH(D336,Pacientes!$A:$A,0))&amp;"","ID no existe"))</f>
        <v/>
      </c>
      <c r="H336" s="9"/>
      <c r="I336" s="6"/>
      <c r="J336" s="6"/>
      <c r="K336" s="6"/>
      <c r="L336" s="7"/>
      <c r="M336" s="7"/>
      <c r="N336" s="6"/>
      <c r="O336" s="6"/>
    </row>
    <row r="337" customFormat="false" ht="15" hidden="false" customHeight="false" outlineLevel="0" collapsed="false">
      <c r="A337" s="6"/>
      <c r="B337" s="10"/>
      <c r="C337" s="16" t="str">
        <f aca="false">IF(B337="","",DATE(YEAR(B337),MONTH(B337),1))</f>
        <v/>
      </c>
      <c r="D337" s="6"/>
      <c r="E337" s="14" t="str">
        <f aca="false">IF(D337="","",IFERROR(INDEX(Pacientes!$Q:$Q,MATCH(D337,Pacientes!$A:$A,0))&amp;"","ID no existe"))</f>
        <v/>
      </c>
      <c r="F337" s="14" t="str">
        <f aca="false">IF(D337="","",IFERROR(INDEX(Pacientes!$D:$D,MATCH(D337,Pacientes!$A:$A,0))&amp;"","ID no existe"))</f>
        <v/>
      </c>
      <c r="G337" s="14" t="str">
        <f aca="false">IF(D337="","",IFERROR(INDEX(Pacientes!$E:$E,MATCH(D337,Pacientes!$A:$A,0))&amp;"","ID no existe"))</f>
        <v/>
      </c>
      <c r="H337" s="9"/>
      <c r="I337" s="6"/>
      <c r="J337" s="6"/>
      <c r="K337" s="6"/>
      <c r="L337" s="7"/>
      <c r="M337" s="7"/>
      <c r="N337" s="6"/>
      <c r="O337" s="6"/>
    </row>
    <row r="338" customFormat="false" ht="15" hidden="false" customHeight="false" outlineLevel="0" collapsed="false">
      <c r="A338" s="6"/>
      <c r="B338" s="10"/>
      <c r="C338" s="16" t="str">
        <f aca="false">IF(B338="","",DATE(YEAR(B338),MONTH(B338),1))</f>
        <v/>
      </c>
      <c r="D338" s="6"/>
      <c r="E338" s="14" t="str">
        <f aca="false">IF(D338="","",IFERROR(INDEX(Pacientes!$Q:$Q,MATCH(D338,Pacientes!$A:$A,0))&amp;"","ID no existe"))</f>
        <v/>
      </c>
      <c r="F338" s="14" t="str">
        <f aca="false">IF(D338="","",IFERROR(INDEX(Pacientes!$D:$D,MATCH(D338,Pacientes!$A:$A,0))&amp;"","ID no existe"))</f>
        <v/>
      </c>
      <c r="G338" s="14" t="str">
        <f aca="false">IF(D338="","",IFERROR(INDEX(Pacientes!$E:$E,MATCH(D338,Pacientes!$A:$A,0))&amp;"","ID no existe"))</f>
        <v/>
      </c>
      <c r="H338" s="9"/>
      <c r="I338" s="6"/>
      <c r="J338" s="6"/>
      <c r="K338" s="6"/>
      <c r="L338" s="7"/>
      <c r="M338" s="7"/>
      <c r="N338" s="6"/>
      <c r="O338" s="6"/>
    </row>
    <row r="339" customFormat="false" ht="15" hidden="false" customHeight="false" outlineLevel="0" collapsed="false">
      <c r="A339" s="6"/>
      <c r="B339" s="10"/>
      <c r="C339" s="16" t="str">
        <f aca="false">IF(B339="","",DATE(YEAR(B339),MONTH(B339),1))</f>
        <v/>
      </c>
      <c r="D339" s="6"/>
      <c r="E339" s="14" t="str">
        <f aca="false">IF(D339="","",IFERROR(INDEX(Pacientes!$Q:$Q,MATCH(D339,Pacientes!$A:$A,0))&amp;"","ID no existe"))</f>
        <v/>
      </c>
      <c r="F339" s="14" t="str">
        <f aca="false">IF(D339="","",IFERROR(INDEX(Pacientes!$D:$D,MATCH(D339,Pacientes!$A:$A,0))&amp;"","ID no existe"))</f>
        <v/>
      </c>
      <c r="G339" s="14" t="str">
        <f aca="false">IF(D339="","",IFERROR(INDEX(Pacientes!$E:$E,MATCH(D339,Pacientes!$A:$A,0))&amp;"","ID no existe"))</f>
        <v/>
      </c>
      <c r="H339" s="9"/>
      <c r="I339" s="6"/>
      <c r="J339" s="6"/>
      <c r="K339" s="6"/>
      <c r="L339" s="7"/>
      <c r="M339" s="7"/>
      <c r="N339" s="6"/>
      <c r="O339" s="6"/>
    </row>
    <row r="340" customFormat="false" ht="15" hidden="false" customHeight="false" outlineLevel="0" collapsed="false">
      <c r="A340" s="6"/>
      <c r="B340" s="10"/>
      <c r="C340" s="16" t="str">
        <f aca="false">IF(B340="","",DATE(YEAR(B340),MONTH(B340),1))</f>
        <v/>
      </c>
      <c r="D340" s="6"/>
      <c r="E340" s="14" t="str">
        <f aca="false">IF(D340="","",IFERROR(INDEX(Pacientes!$Q:$Q,MATCH(D340,Pacientes!$A:$A,0))&amp;"","ID no existe"))</f>
        <v/>
      </c>
      <c r="F340" s="14" t="str">
        <f aca="false">IF(D340="","",IFERROR(INDEX(Pacientes!$D:$D,MATCH(D340,Pacientes!$A:$A,0))&amp;"","ID no existe"))</f>
        <v/>
      </c>
      <c r="G340" s="14" t="str">
        <f aca="false">IF(D340="","",IFERROR(INDEX(Pacientes!$E:$E,MATCH(D340,Pacientes!$A:$A,0))&amp;"","ID no existe"))</f>
        <v/>
      </c>
      <c r="H340" s="9"/>
      <c r="I340" s="6"/>
      <c r="J340" s="6"/>
      <c r="K340" s="6"/>
      <c r="L340" s="7"/>
      <c r="M340" s="7"/>
      <c r="N340" s="6"/>
      <c r="O340" s="6"/>
    </row>
    <row r="341" customFormat="false" ht="15" hidden="false" customHeight="false" outlineLevel="0" collapsed="false">
      <c r="A341" s="6"/>
      <c r="B341" s="10"/>
      <c r="C341" s="16" t="str">
        <f aca="false">IF(B341="","",DATE(YEAR(B341),MONTH(B341),1))</f>
        <v/>
      </c>
      <c r="D341" s="6"/>
      <c r="E341" s="14" t="str">
        <f aca="false">IF(D341="","",IFERROR(INDEX(Pacientes!$Q:$Q,MATCH(D341,Pacientes!$A:$A,0))&amp;"","ID no existe"))</f>
        <v/>
      </c>
      <c r="F341" s="14" t="str">
        <f aca="false">IF(D341="","",IFERROR(INDEX(Pacientes!$D:$D,MATCH(D341,Pacientes!$A:$A,0))&amp;"","ID no existe"))</f>
        <v/>
      </c>
      <c r="G341" s="14" t="str">
        <f aca="false">IF(D341="","",IFERROR(INDEX(Pacientes!$E:$E,MATCH(D341,Pacientes!$A:$A,0))&amp;"","ID no existe"))</f>
        <v/>
      </c>
      <c r="H341" s="9"/>
      <c r="I341" s="6"/>
      <c r="J341" s="6"/>
      <c r="K341" s="6"/>
      <c r="L341" s="7"/>
      <c r="M341" s="7"/>
      <c r="N341" s="6"/>
      <c r="O341" s="6"/>
    </row>
    <row r="342" customFormat="false" ht="15" hidden="false" customHeight="false" outlineLevel="0" collapsed="false">
      <c r="A342" s="6"/>
      <c r="B342" s="10"/>
      <c r="C342" s="16" t="str">
        <f aca="false">IF(B342="","",DATE(YEAR(B342),MONTH(B342),1))</f>
        <v/>
      </c>
      <c r="D342" s="6"/>
      <c r="E342" s="14" t="str">
        <f aca="false">IF(D342="","",IFERROR(INDEX(Pacientes!$Q:$Q,MATCH(D342,Pacientes!$A:$A,0))&amp;"","ID no existe"))</f>
        <v/>
      </c>
      <c r="F342" s="14" t="str">
        <f aca="false">IF(D342="","",IFERROR(INDEX(Pacientes!$D:$D,MATCH(D342,Pacientes!$A:$A,0))&amp;"","ID no existe"))</f>
        <v/>
      </c>
      <c r="G342" s="14" t="str">
        <f aca="false">IF(D342="","",IFERROR(INDEX(Pacientes!$E:$E,MATCH(D342,Pacientes!$A:$A,0))&amp;"","ID no existe"))</f>
        <v/>
      </c>
      <c r="H342" s="9"/>
      <c r="I342" s="6"/>
      <c r="J342" s="6"/>
      <c r="K342" s="6"/>
      <c r="L342" s="7"/>
      <c r="M342" s="7"/>
      <c r="N342" s="6"/>
      <c r="O342" s="6"/>
    </row>
    <row r="343" customFormat="false" ht="15" hidden="false" customHeight="false" outlineLevel="0" collapsed="false">
      <c r="A343" s="6"/>
      <c r="B343" s="10"/>
      <c r="C343" s="16" t="str">
        <f aca="false">IF(B343="","",DATE(YEAR(B343),MONTH(B343),1))</f>
        <v/>
      </c>
      <c r="D343" s="6"/>
      <c r="E343" s="14" t="str">
        <f aca="false">IF(D343="","",IFERROR(INDEX(Pacientes!$Q:$Q,MATCH(D343,Pacientes!$A:$A,0))&amp;"","ID no existe"))</f>
        <v/>
      </c>
      <c r="F343" s="14" t="str">
        <f aca="false">IF(D343="","",IFERROR(INDEX(Pacientes!$D:$D,MATCH(D343,Pacientes!$A:$A,0))&amp;"","ID no existe"))</f>
        <v/>
      </c>
      <c r="G343" s="14" t="str">
        <f aca="false">IF(D343="","",IFERROR(INDEX(Pacientes!$E:$E,MATCH(D343,Pacientes!$A:$A,0))&amp;"","ID no existe"))</f>
        <v/>
      </c>
      <c r="H343" s="9"/>
      <c r="I343" s="6"/>
      <c r="J343" s="6"/>
      <c r="K343" s="6"/>
      <c r="L343" s="7"/>
      <c r="M343" s="7"/>
      <c r="N343" s="6"/>
      <c r="O343" s="6"/>
    </row>
    <row r="344" customFormat="false" ht="15" hidden="false" customHeight="false" outlineLevel="0" collapsed="false">
      <c r="A344" s="6"/>
      <c r="B344" s="10"/>
      <c r="C344" s="16" t="str">
        <f aca="false">IF(B344="","",DATE(YEAR(B344),MONTH(B344),1))</f>
        <v/>
      </c>
      <c r="D344" s="6"/>
      <c r="E344" s="14" t="str">
        <f aca="false">IF(D344="","",IFERROR(INDEX(Pacientes!$Q:$Q,MATCH(D344,Pacientes!$A:$A,0))&amp;"","ID no existe"))</f>
        <v/>
      </c>
      <c r="F344" s="14" t="str">
        <f aca="false">IF(D344="","",IFERROR(INDEX(Pacientes!$D:$D,MATCH(D344,Pacientes!$A:$A,0))&amp;"","ID no existe"))</f>
        <v/>
      </c>
      <c r="G344" s="14" t="str">
        <f aca="false">IF(D344="","",IFERROR(INDEX(Pacientes!$E:$E,MATCH(D344,Pacientes!$A:$A,0))&amp;"","ID no existe"))</f>
        <v/>
      </c>
      <c r="H344" s="9"/>
      <c r="I344" s="6"/>
      <c r="J344" s="6"/>
      <c r="K344" s="6"/>
      <c r="L344" s="7"/>
      <c r="M344" s="7"/>
      <c r="N344" s="6"/>
      <c r="O344" s="6"/>
    </row>
    <row r="345" customFormat="false" ht="15" hidden="false" customHeight="false" outlineLevel="0" collapsed="false">
      <c r="A345" s="6"/>
      <c r="B345" s="10"/>
      <c r="C345" s="16" t="str">
        <f aca="false">IF(B345="","",DATE(YEAR(B345),MONTH(B345),1))</f>
        <v/>
      </c>
      <c r="D345" s="6"/>
      <c r="E345" s="14" t="str">
        <f aca="false">IF(D345="","",IFERROR(INDEX(Pacientes!$Q:$Q,MATCH(D345,Pacientes!$A:$A,0))&amp;"","ID no existe"))</f>
        <v/>
      </c>
      <c r="F345" s="14" t="str">
        <f aca="false">IF(D345="","",IFERROR(INDEX(Pacientes!$D:$D,MATCH(D345,Pacientes!$A:$A,0))&amp;"","ID no existe"))</f>
        <v/>
      </c>
      <c r="G345" s="14" t="str">
        <f aca="false">IF(D345="","",IFERROR(INDEX(Pacientes!$E:$E,MATCH(D345,Pacientes!$A:$A,0))&amp;"","ID no existe"))</f>
        <v/>
      </c>
      <c r="H345" s="9"/>
      <c r="I345" s="6"/>
      <c r="J345" s="6"/>
      <c r="K345" s="6"/>
      <c r="L345" s="7"/>
      <c r="M345" s="7"/>
      <c r="N345" s="6"/>
      <c r="O345" s="6"/>
    </row>
    <row r="346" customFormat="false" ht="15" hidden="false" customHeight="false" outlineLevel="0" collapsed="false">
      <c r="A346" s="6"/>
      <c r="B346" s="10"/>
      <c r="C346" s="16" t="str">
        <f aca="false">IF(B346="","",DATE(YEAR(B346),MONTH(B346),1))</f>
        <v/>
      </c>
      <c r="D346" s="6"/>
      <c r="E346" s="14" t="str">
        <f aca="false">IF(D346="","",IFERROR(INDEX(Pacientes!$Q:$Q,MATCH(D346,Pacientes!$A:$A,0))&amp;"","ID no existe"))</f>
        <v/>
      </c>
      <c r="F346" s="14" t="str">
        <f aca="false">IF(D346="","",IFERROR(INDEX(Pacientes!$D:$D,MATCH(D346,Pacientes!$A:$A,0))&amp;"","ID no existe"))</f>
        <v/>
      </c>
      <c r="G346" s="14" t="str">
        <f aca="false">IF(D346="","",IFERROR(INDEX(Pacientes!$E:$E,MATCH(D346,Pacientes!$A:$A,0))&amp;"","ID no existe"))</f>
        <v/>
      </c>
      <c r="H346" s="9"/>
      <c r="I346" s="6"/>
      <c r="J346" s="6"/>
      <c r="K346" s="6"/>
      <c r="L346" s="7"/>
      <c r="M346" s="7"/>
      <c r="N346" s="6"/>
      <c r="O346" s="6"/>
    </row>
    <row r="347" customFormat="false" ht="15" hidden="false" customHeight="false" outlineLevel="0" collapsed="false">
      <c r="A347" s="6"/>
      <c r="B347" s="10"/>
      <c r="C347" s="16" t="str">
        <f aca="false">IF(B347="","",DATE(YEAR(B347),MONTH(B347),1))</f>
        <v/>
      </c>
      <c r="D347" s="6"/>
      <c r="E347" s="14" t="str">
        <f aca="false">IF(D347="","",IFERROR(INDEX(Pacientes!$Q:$Q,MATCH(D347,Pacientes!$A:$A,0))&amp;"","ID no existe"))</f>
        <v/>
      </c>
      <c r="F347" s="14" t="str">
        <f aca="false">IF(D347="","",IFERROR(INDEX(Pacientes!$D:$D,MATCH(D347,Pacientes!$A:$A,0))&amp;"","ID no existe"))</f>
        <v/>
      </c>
      <c r="G347" s="14" t="str">
        <f aca="false">IF(D347="","",IFERROR(INDEX(Pacientes!$E:$E,MATCH(D347,Pacientes!$A:$A,0))&amp;"","ID no existe"))</f>
        <v/>
      </c>
      <c r="H347" s="9"/>
      <c r="I347" s="6"/>
      <c r="J347" s="6"/>
      <c r="K347" s="6"/>
      <c r="L347" s="7"/>
      <c r="M347" s="7"/>
      <c r="N347" s="6"/>
      <c r="O347" s="6"/>
    </row>
    <row r="348" customFormat="false" ht="15" hidden="false" customHeight="false" outlineLevel="0" collapsed="false">
      <c r="A348" s="6"/>
      <c r="B348" s="10"/>
      <c r="C348" s="16" t="str">
        <f aca="false">IF(B348="","",DATE(YEAR(B348),MONTH(B348),1))</f>
        <v/>
      </c>
      <c r="D348" s="6"/>
      <c r="E348" s="14" t="str">
        <f aca="false">IF(D348="","",IFERROR(INDEX(Pacientes!$Q:$Q,MATCH(D348,Pacientes!$A:$A,0))&amp;"","ID no existe"))</f>
        <v/>
      </c>
      <c r="F348" s="14" t="str">
        <f aca="false">IF(D348="","",IFERROR(INDEX(Pacientes!$D:$D,MATCH(D348,Pacientes!$A:$A,0))&amp;"","ID no existe"))</f>
        <v/>
      </c>
      <c r="G348" s="14" t="str">
        <f aca="false">IF(D348="","",IFERROR(INDEX(Pacientes!$E:$E,MATCH(D348,Pacientes!$A:$A,0))&amp;"","ID no existe"))</f>
        <v/>
      </c>
      <c r="H348" s="9"/>
      <c r="I348" s="6"/>
      <c r="J348" s="6"/>
      <c r="K348" s="6"/>
      <c r="L348" s="7"/>
      <c r="M348" s="7"/>
      <c r="N348" s="6"/>
      <c r="O348" s="6"/>
    </row>
    <row r="349" customFormat="false" ht="15" hidden="false" customHeight="false" outlineLevel="0" collapsed="false">
      <c r="A349" s="6"/>
      <c r="B349" s="10"/>
      <c r="C349" s="16" t="str">
        <f aca="false">IF(B349="","",DATE(YEAR(B349),MONTH(B349),1))</f>
        <v/>
      </c>
      <c r="D349" s="6"/>
      <c r="E349" s="14" t="str">
        <f aca="false">IF(D349="","",IFERROR(INDEX(Pacientes!$Q:$Q,MATCH(D349,Pacientes!$A:$A,0))&amp;"","ID no existe"))</f>
        <v/>
      </c>
      <c r="F349" s="14" t="str">
        <f aca="false">IF(D349="","",IFERROR(INDEX(Pacientes!$D:$D,MATCH(D349,Pacientes!$A:$A,0))&amp;"","ID no existe"))</f>
        <v/>
      </c>
      <c r="G349" s="14" t="str">
        <f aca="false">IF(D349="","",IFERROR(INDEX(Pacientes!$E:$E,MATCH(D349,Pacientes!$A:$A,0))&amp;"","ID no existe"))</f>
        <v/>
      </c>
      <c r="H349" s="9"/>
      <c r="I349" s="6"/>
      <c r="J349" s="6"/>
      <c r="K349" s="6"/>
      <c r="L349" s="7"/>
      <c r="M349" s="7"/>
      <c r="N349" s="6"/>
      <c r="O349" s="6"/>
    </row>
    <row r="350" customFormat="false" ht="15" hidden="false" customHeight="false" outlineLevel="0" collapsed="false">
      <c r="A350" s="6"/>
      <c r="B350" s="10"/>
      <c r="C350" s="16" t="str">
        <f aca="false">IF(B350="","",DATE(YEAR(B350),MONTH(B350),1))</f>
        <v/>
      </c>
      <c r="D350" s="6"/>
      <c r="E350" s="14" t="str">
        <f aca="false">IF(D350="","",IFERROR(INDEX(Pacientes!$Q:$Q,MATCH(D350,Pacientes!$A:$A,0))&amp;"","ID no existe"))</f>
        <v/>
      </c>
      <c r="F350" s="14" t="str">
        <f aca="false">IF(D350="","",IFERROR(INDEX(Pacientes!$D:$D,MATCH(D350,Pacientes!$A:$A,0))&amp;"","ID no existe"))</f>
        <v/>
      </c>
      <c r="G350" s="14" t="str">
        <f aca="false">IF(D350="","",IFERROR(INDEX(Pacientes!$E:$E,MATCH(D350,Pacientes!$A:$A,0))&amp;"","ID no existe"))</f>
        <v/>
      </c>
      <c r="H350" s="9"/>
      <c r="I350" s="6"/>
      <c r="J350" s="6"/>
      <c r="K350" s="6"/>
      <c r="L350" s="7"/>
      <c r="M350" s="7"/>
      <c r="N350" s="6"/>
      <c r="O350" s="6"/>
    </row>
    <row r="351" customFormat="false" ht="15" hidden="false" customHeight="false" outlineLevel="0" collapsed="false">
      <c r="A351" s="6"/>
      <c r="B351" s="10"/>
      <c r="C351" s="16" t="str">
        <f aca="false">IF(B351="","",DATE(YEAR(B351),MONTH(B351),1))</f>
        <v/>
      </c>
      <c r="D351" s="6"/>
      <c r="E351" s="14" t="str">
        <f aca="false">IF(D351="","",IFERROR(INDEX(Pacientes!$Q:$Q,MATCH(D351,Pacientes!$A:$A,0))&amp;"","ID no existe"))</f>
        <v/>
      </c>
      <c r="F351" s="14" t="str">
        <f aca="false">IF(D351="","",IFERROR(INDEX(Pacientes!$D:$D,MATCH(D351,Pacientes!$A:$A,0))&amp;"","ID no existe"))</f>
        <v/>
      </c>
      <c r="G351" s="14" t="str">
        <f aca="false">IF(D351="","",IFERROR(INDEX(Pacientes!$E:$E,MATCH(D351,Pacientes!$A:$A,0))&amp;"","ID no existe"))</f>
        <v/>
      </c>
      <c r="H351" s="9"/>
      <c r="I351" s="6"/>
      <c r="J351" s="6"/>
      <c r="K351" s="6"/>
      <c r="L351" s="7"/>
      <c r="M351" s="7"/>
      <c r="N351" s="6"/>
      <c r="O351" s="6"/>
    </row>
    <row r="352" customFormat="false" ht="15" hidden="false" customHeight="false" outlineLevel="0" collapsed="false">
      <c r="A352" s="6"/>
      <c r="B352" s="10"/>
      <c r="C352" s="16" t="str">
        <f aca="false">IF(B352="","",DATE(YEAR(B352),MONTH(B352),1))</f>
        <v/>
      </c>
      <c r="D352" s="6"/>
      <c r="E352" s="14" t="str">
        <f aca="false">IF(D352="","",IFERROR(INDEX(Pacientes!$Q:$Q,MATCH(D352,Pacientes!$A:$A,0))&amp;"","ID no existe"))</f>
        <v/>
      </c>
      <c r="F352" s="14" t="str">
        <f aca="false">IF(D352="","",IFERROR(INDEX(Pacientes!$D:$D,MATCH(D352,Pacientes!$A:$A,0))&amp;"","ID no existe"))</f>
        <v/>
      </c>
      <c r="G352" s="14" t="str">
        <f aca="false">IF(D352="","",IFERROR(INDEX(Pacientes!$E:$E,MATCH(D352,Pacientes!$A:$A,0))&amp;"","ID no existe"))</f>
        <v/>
      </c>
      <c r="H352" s="9"/>
      <c r="I352" s="6"/>
      <c r="J352" s="6"/>
      <c r="K352" s="6"/>
      <c r="L352" s="7"/>
      <c r="M352" s="7"/>
      <c r="N352" s="6"/>
      <c r="O352" s="6"/>
    </row>
    <row r="353" customFormat="false" ht="15" hidden="false" customHeight="false" outlineLevel="0" collapsed="false">
      <c r="A353" s="6"/>
      <c r="B353" s="10"/>
      <c r="C353" s="16" t="str">
        <f aca="false">IF(B353="","",DATE(YEAR(B353),MONTH(B353),1))</f>
        <v/>
      </c>
      <c r="D353" s="6"/>
      <c r="E353" s="14" t="str">
        <f aca="false">IF(D353="","",IFERROR(INDEX(Pacientes!$Q:$Q,MATCH(D353,Pacientes!$A:$A,0))&amp;"","ID no existe"))</f>
        <v/>
      </c>
      <c r="F353" s="14" t="str">
        <f aca="false">IF(D353="","",IFERROR(INDEX(Pacientes!$D:$D,MATCH(D353,Pacientes!$A:$A,0))&amp;"","ID no existe"))</f>
        <v/>
      </c>
      <c r="G353" s="14" t="str">
        <f aca="false">IF(D353="","",IFERROR(INDEX(Pacientes!$E:$E,MATCH(D353,Pacientes!$A:$A,0))&amp;"","ID no existe"))</f>
        <v/>
      </c>
      <c r="H353" s="9"/>
      <c r="I353" s="6"/>
      <c r="J353" s="6"/>
      <c r="K353" s="6"/>
      <c r="L353" s="7"/>
      <c r="M353" s="7"/>
      <c r="N353" s="6"/>
      <c r="O353" s="6"/>
    </row>
    <row r="354" customFormat="false" ht="15" hidden="false" customHeight="false" outlineLevel="0" collapsed="false">
      <c r="A354" s="6"/>
      <c r="B354" s="10"/>
      <c r="C354" s="16" t="str">
        <f aca="false">IF(B354="","",DATE(YEAR(B354),MONTH(B354),1))</f>
        <v/>
      </c>
      <c r="D354" s="6"/>
      <c r="E354" s="14" t="str">
        <f aca="false">IF(D354="","",IFERROR(INDEX(Pacientes!$Q:$Q,MATCH(D354,Pacientes!$A:$A,0))&amp;"","ID no existe"))</f>
        <v/>
      </c>
      <c r="F354" s="14" t="str">
        <f aca="false">IF(D354="","",IFERROR(INDEX(Pacientes!$D:$D,MATCH(D354,Pacientes!$A:$A,0))&amp;"","ID no existe"))</f>
        <v/>
      </c>
      <c r="G354" s="14" t="str">
        <f aca="false">IF(D354="","",IFERROR(INDEX(Pacientes!$E:$E,MATCH(D354,Pacientes!$A:$A,0))&amp;"","ID no existe"))</f>
        <v/>
      </c>
      <c r="H354" s="9"/>
      <c r="I354" s="6"/>
      <c r="J354" s="6"/>
      <c r="K354" s="6"/>
      <c r="L354" s="7"/>
      <c r="M354" s="7"/>
      <c r="N354" s="6"/>
      <c r="O354" s="6"/>
    </row>
    <row r="355" customFormat="false" ht="15" hidden="false" customHeight="false" outlineLevel="0" collapsed="false">
      <c r="A355" s="6"/>
      <c r="B355" s="10"/>
      <c r="C355" s="16" t="str">
        <f aca="false">IF(B355="","",DATE(YEAR(B355),MONTH(B355),1))</f>
        <v/>
      </c>
      <c r="D355" s="6"/>
      <c r="E355" s="14" t="str">
        <f aca="false">IF(D355="","",IFERROR(INDEX(Pacientes!$Q:$Q,MATCH(D355,Pacientes!$A:$A,0))&amp;"","ID no existe"))</f>
        <v/>
      </c>
      <c r="F355" s="14" t="str">
        <f aca="false">IF(D355="","",IFERROR(INDEX(Pacientes!$D:$D,MATCH(D355,Pacientes!$A:$A,0))&amp;"","ID no existe"))</f>
        <v/>
      </c>
      <c r="G355" s="14" t="str">
        <f aca="false">IF(D355="","",IFERROR(INDEX(Pacientes!$E:$E,MATCH(D355,Pacientes!$A:$A,0))&amp;"","ID no existe"))</f>
        <v/>
      </c>
      <c r="H355" s="9"/>
      <c r="I355" s="6"/>
      <c r="J355" s="6"/>
      <c r="K355" s="6"/>
      <c r="L355" s="7"/>
      <c r="M355" s="7"/>
      <c r="N355" s="6"/>
      <c r="O355" s="6"/>
    </row>
    <row r="356" customFormat="false" ht="15" hidden="false" customHeight="false" outlineLevel="0" collapsed="false">
      <c r="A356" s="6"/>
      <c r="B356" s="10"/>
      <c r="C356" s="16" t="str">
        <f aca="false">IF(B356="","",DATE(YEAR(B356),MONTH(B356),1))</f>
        <v/>
      </c>
      <c r="D356" s="6"/>
      <c r="E356" s="14" t="str">
        <f aca="false">IF(D356="","",IFERROR(INDEX(Pacientes!$Q:$Q,MATCH(D356,Pacientes!$A:$A,0))&amp;"","ID no existe"))</f>
        <v/>
      </c>
      <c r="F356" s="14" t="str">
        <f aca="false">IF(D356="","",IFERROR(INDEX(Pacientes!$D:$D,MATCH(D356,Pacientes!$A:$A,0))&amp;"","ID no existe"))</f>
        <v/>
      </c>
      <c r="G356" s="14" t="str">
        <f aca="false">IF(D356="","",IFERROR(INDEX(Pacientes!$E:$E,MATCH(D356,Pacientes!$A:$A,0))&amp;"","ID no existe"))</f>
        <v/>
      </c>
      <c r="H356" s="9"/>
      <c r="I356" s="6"/>
      <c r="J356" s="6"/>
      <c r="K356" s="6"/>
      <c r="L356" s="7"/>
      <c r="M356" s="7"/>
      <c r="N356" s="6"/>
      <c r="O356" s="6"/>
    </row>
    <row r="357" customFormat="false" ht="15" hidden="false" customHeight="false" outlineLevel="0" collapsed="false">
      <c r="A357" s="6"/>
      <c r="B357" s="10"/>
      <c r="C357" s="16" t="str">
        <f aca="false">IF(B357="","",DATE(YEAR(B357),MONTH(B357),1))</f>
        <v/>
      </c>
      <c r="D357" s="6"/>
      <c r="E357" s="14" t="str">
        <f aca="false">IF(D357="","",IFERROR(INDEX(Pacientes!$Q:$Q,MATCH(D357,Pacientes!$A:$A,0))&amp;"","ID no existe"))</f>
        <v/>
      </c>
      <c r="F357" s="14" t="str">
        <f aca="false">IF(D357="","",IFERROR(INDEX(Pacientes!$D:$D,MATCH(D357,Pacientes!$A:$A,0))&amp;"","ID no existe"))</f>
        <v/>
      </c>
      <c r="G357" s="14" t="str">
        <f aca="false">IF(D357="","",IFERROR(INDEX(Pacientes!$E:$E,MATCH(D357,Pacientes!$A:$A,0))&amp;"","ID no existe"))</f>
        <v/>
      </c>
      <c r="H357" s="9"/>
      <c r="I357" s="6"/>
      <c r="J357" s="6"/>
      <c r="K357" s="6"/>
      <c r="L357" s="7"/>
      <c r="M357" s="7"/>
      <c r="N357" s="6"/>
      <c r="O357" s="6"/>
    </row>
    <row r="358" customFormat="false" ht="15" hidden="false" customHeight="false" outlineLevel="0" collapsed="false">
      <c r="A358" s="6"/>
      <c r="B358" s="10"/>
      <c r="C358" s="16" t="str">
        <f aca="false">IF(B358="","",DATE(YEAR(B358),MONTH(B358),1))</f>
        <v/>
      </c>
      <c r="D358" s="6"/>
      <c r="E358" s="14" t="str">
        <f aca="false">IF(D358="","",IFERROR(INDEX(Pacientes!$Q:$Q,MATCH(D358,Pacientes!$A:$A,0))&amp;"","ID no existe"))</f>
        <v/>
      </c>
      <c r="F358" s="14" t="str">
        <f aca="false">IF(D358="","",IFERROR(INDEX(Pacientes!$D:$D,MATCH(D358,Pacientes!$A:$A,0))&amp;"","ID no existe"))</f>
        <v/>
      </c>
      <c r="G358" s="14" t="str">
        <f aca="false">IF(D358="","",IFERROR(INDEX(Pacientes!$E:$E,MATCH(D358,Pacientes!$A:$A,0))&amp;"","ID no existe"))</f>
        <v/>
      </c>
      <c r="H358" s="9"/>
      <c r="I358" s="6"/>
      <c r="J358" s="6"/>
      <c r="K358" s="6"/>
      <c r="L358" s="7"/>
      <c r="M358" s="7"/>
      <c r="N358" s="6"/>
      <c r="O358" s="6"/>
    </row>
    <row r="359" customFormat="false" ht="15" hidden="false" customHeight="false" outlineLevel="0" collapsed="false">
      <c r="A359" s="6"/>
      <c r="B359" s="10"/>
      <c r="C359" s="16" t="str">
        <f aca="false">IF(B359="","",DATE(YEAR(B359),MONTH(B359),1))</f>
        <v/>
      </c>
      <c r="D359" s="6"/>
      <c r="E359" s="14" t="str">
        <f aca="false">IF(D359="","",IFERROR(INDEX(Pacientes!$Q:$Q,MATCH(D359,Pacientes!$A:$A,0))&amp;"","ID no existe"))</f>
        <v/>
      </c>
      <c r="F359" s="14" t="str">
        <f aca="false">IF(D359="","",IFERROR(INDEX(Pacientes!$D:$D,MATCH(D359,Pacientes!$A:$A,0))&amp;"","ID no existe"))</f>
        <v/>
      </c>
      <c r="G359" s="14" t="str">
        <f aca="false">IF(D359="","",IFERROR(INDEX(Pacientes!$E:$E,MATCH(D359,Pacientes!$A:$A,0))&amp;"","ID no existe"))</f>
        <v/>
      </c>
      <c r="H359" s="9"/>
      <c r="I359" s="6"/>
      <c r="J359" s="6"/>
      <c r="K359" s="6"/>
      <c r="L359" s="7"/>
      <c r="M359" s="7"/>
      <c r="N359" s="6"/>
      <c r="O359" s="6"/>
    </row>
    <row r="360" customFormat="false" ht="15" hidden="false" customHeight="false" outlineLevel="0" collapsed="false">
      <c r="A360" s="6"/>
      <c r="B360" s="10"/>
      <c r="C360" s="16" t="str">
        <f aca="false">IF(B360="","",DATE(YEAR(B360),MONTH(B360),1))</f>
        <v/>
      </c>
      <c r="D360" s="6"/>
      <c r="E360" s="14" t="str">
        <f aca="false">IF(D360="","",IFERROR(INDEX(Pacientes!$Q:$Q,MATCH(D360,Pacientes!$A:$A,0))&amp;"","ID no existe"))</f>
        <v/>
      </c>
      <c r="F360" s="14" t="str">
        <f aca="false">IF(D360="","",IFERROR(INDEX(Pacientes!$D:$D,MATCH(D360,Pacientes!$A:$A,0))&amp;"","ID no existe"))</f>
        <v/>
      </c>
      <c r="G360" s="14" t="str">
        <f aca="false">IF(D360="","",IFERROR(INDEX(Pacientes!$E:$E,MATCH(D360,Pacientes!$A:$A,0))&amp;"","ID no existe"))</f>
        <v/>
      </c>
      <c r="H360" s="9"/>
      <c r="I360" s="6"/>
      <c r="J360" s="6"/>
      <c r="K360" s="6"/>
      <c r="L360" s="7"/>
      <c r="M360" s="7"/>
      <c r="N360" s="6"/>
      <c r="O360" s="6"/>
    </row>
    <row r="361" customFormat="false" ht="15" hidden="false" customHeight="false" outlineLevel="0" collapsed="false">
      <c r="A361" s="6"/>
      <c r="B361" s="10"/>
      <c r="C361" s="16" t="str">
        <f aca="false">IF(B361="","",DATE(YEAR(B361),MONTH(B361),1))</f>
        <v/>
      </c>
      <c r="D361" s="6"/>
      <c r="E361" s="14" t="str">
        <f aca="false">IF(D361="","",IFERROR(INDEX(Pacientes!$Q:$Q,MATCH(D361,Pacientes!$A:$A,0))&amp;"","ID no existe"))</f>
        <v/>
      </c>
      <c r="F361" s="14" t="str">
        <f aca="false">IF(D361="","",IFERROR(INDEX(Pacientes!$D:$D,MATCH(D361,Pacientes!$A:$A,0))&amp;"","ID no existe"))</f>
        <v/>
      </c>
      <c r="G361" s="14" t="str">
        <f aca="false">IF(D361="","",IFERROR(INDEX(Pacientes!$E:$E,MATCH(D361,Pacientes!$A:$A,0))&amp;"","ID no existe"))</f>
        <v/>
      </c>
      <c r="H361" s="9"/>
      <c r="I361" s="6"/>
      <c r="J361" s="6"/>
      <c r="K361" s="6"/>
      <c r="L361" s="7"/>
      <c r="M361" s="7"/>
      <c r="N361" s="6"/>
      <c r="O361" s="6"/>
    </row>
    <row r="362" customFormat="false" ht="15" hidden="false" customHeight="false" outlineLevel="0" collapsed="false">
      <c r="A362" s="6"/>
      <c r="B362" s="10"/>
      <c r="C362" s="16" t="str">
        <f aca="false">IF(B362="","",DATE(YEAR(B362),MONTH(B362),1))</f>
        <v/>
      </c>
      <c r="D362" s="6"/>
      <c r="E362" s="14" t="str">
        <f aca="false">IF(D362="","",IFERROR(INDEX(Pacientes!$Q:$Q,MATCH(D362,Pacientes!$A:$A,0))&amp;"","ID no existe"))</f>
        <v/>
      </c>
      <c r="F362" s="14" t="str">
        <f aca="false">IF(D362="","",IFERROR(INDEX(Pacientes!$D:$D,MATCH(D362,Pacientes!$A:$A,0))&amp;"","ID no existe"))</f>
        <v/>
      </c>
      <c r="G362" s="14" t="str">
        <f aca="false">IF(D362="","",IFERROR(INDEX(Pacientes!$E:$E,MATCH(D362,Pacientes!$A:$A,0))&amp;"","ID no existe"))</f>
        <v/>
      </c>
      <c r="H362" s="9"/>
      <c r="I362" s="6"/>
      <c r="J362" s="6"/>
      <c r="K362" s="6"/>
      <c r="L362" s="7"/>
      <c r="M362" s="7"/>
      <c r="N362" s="6"/>
      <c r="O362" s="6"/>
    </row>
    <row r="363" customFormat="false" ht="15" hidden="false" customHeight="false" outlineLevel="0" collapsed="false">
      <c r="A363" s="6"/>
      <c r="B363" s="10"/>
      <c r="C363" s="16" t="str">
        <f aca="false">IF(B363="","",DATE(YEAR(B363),MONTH(B363),1))</f>
        <v/>
      </c>
      <c r="D363" s="6"/>
      <c r="E363" s="14" t="str">
        <f aca="false">IF(D363="","",IFERROR(INDEX(Pacientes!$Q:$Q,MATCH(D363,Pacientes!$A:$A,0))&amp;"","ID no existe"))</f>
        <v/>
      </c>
      <c r="F363" s="14" t="str">
        <f aca="false">IF(D363="","",IFERROR(INDEX(Pacientes!$D:$D,MATCH(D363,Pacientes!$A:$A,0))&amp;"","ID no existe"))</f>
        <v/>
      </c>
      <c r="G363" s="14" t="str">
        <f aca="false">IF(D363="","",IFERROR(INDEX(Pacientes!$E:$E,MATCH(D363,Pacientes!$A:$A,0))&amp;"","ID no existe"))</f>
        <v/>
      </c>
      <c r="H363" s="9"/>
      <c r="I363" s="6"/>
      <c r="J363" s="6"/>
      <c r="K363" s="6"/>
      <c r="L363" s="7"/>
      <c r="M363" s="7"/>
      <c r="N363" s="6"/>
      <c r="O363" s="6"/>
    </row>
    <row r="364" customFormat="false" ht="15" hidden="false" customHeight="false" outlineLevel="0" collapsed="false">
      <c r="A364" s="6"/>
      <c r="B364" s="10"/>
      <c r="C364" s="16" t="str">
        <f aca="false">IF(B364="","",DATE(YEAR(B364),MONTH(B364),1))</f>
        <v/>
      </c>
      <c r="D364" s="6"/>
      <c r="E364" s="14" t="str">
        <f aca="false">IF(D364="","",IFERROR(INDEX(Pacientes!$Q:$Q,MATCH(D364,Pacientes!$A:$A,0))&amp;"","ID no existe"))</f>
        <v/>
      </c>
      <c r="F364" s="14" t="str">
        <f aca="false">IF(D364="","",IFERROR(INDEX(Pacientes!$D:$D,MATCH(D364,Pacientes!$A:$A,0))&amp;"","ID no existe"))</f>
        <v/>
      </c>
      <c r="G364" s="14" t="str">
        <f aca="false">IF(D364="","",IFERROR(INDEX(Pacientes!$E:$E,MATCH(D364,Pacientes!$A:$A,0))&amp;"","ID no existe"))</f>
        <v/>
      </c>
      <c r="H364" s="9"/>
      <c r="I364" s="6"/>
      <c r="J364" s="6"/>
      <c r="K364" s="6"/>
      <c r="L364" s="7"/>
      <c r="M364" s="7"/>
      <c r="N364" s="6"/>
      <c r="O364" s="6"/>
    </row>
    <row r="365" customFormat="false" ht="15" hidden="false" customHeight="false" outlineLevel="0" collapsed="false">
      <c r="A365" s="6"/>
      <c r="B365" s="10"/>
      <c r="C365" s="16" t="str">
        <f aca="false">IF(B365="","",DATE(YEAR(B365),MONTH(B365),1))</f>
        <v/>
      </c>
      <c r="D365" s="6"/>
      <c r="E365" s="14" t="str">
        <f aca="false">IF(D365="","",IFERROR(INDEX(Pacientes!$Q:$Q,MATCH(D365,Pacientes!$A:$A,0))&amp;"","ID no existe"))</f>
        <v/>
      </c>
      <c r="F365" s="14" t="str">
        <f aca="false">IF(D365="","",IFERROR(INDEX(Pacientes!$D:$D,MATCH(D365,Pacientes!$A:$A,0))&amp;"","ID no existe"))</f>
        <v/>
      </c>
      <c r="G365" s="14" t="str">
        <f aca="false">IF(D365="","",IFERROR(INDEX(Pacientes!$E:$E,MATCH(D365,Pacientes!$A:$A,0))&amp;"","ID no existe"))</f>
        <v/>
      </c>
      <c r="H365" s="9"/>
      <c r="I365" s="6"/>
      <c r="J365" s="6"/>
      <c r="K365" s="6"/>
      <c r="L365" s="7"/>
      <c r="M365" s="7"/>
      <c r="N365" s="6"/>
      <c r="O365" s="6"/>
    </row>
    <row r="366" customFormat="false" ht="15" hidden="false" customHeight="false" outlineLevel="0" collapsed="false">
      <c r="A366" s="6"/>
      <c r="B366" s="10"/>
      <c r="C366" s="16" t="str">
        <f aca="false">IF(B366="","",DATE(YEAR(B366),MONTH(B366),1))</f>
        <v/>
      </c>
      <c r="D366" s="6"/>
      <c r="E366" s="14" t="str">
        <f aca="false">IF(D366="","",IFERROR(INDEX(Pacientes!$Q:$Q,MATCH(D366,Pacientes!$A:$A,0))&amp;"","ID no existe"))</f>
        <v/>
      </c>
      <c r="F366" s="14" t="str">
        <f aca="false">IF(D366="","",IFERROR(INDEX(Pacientes!$D:$D,MATCH(D366,Pacientes!$A:$A,0))&amp;"","ID no existe"))</f>
        <v/>
      </c>
      <c r="G366" s="14" t="str">
        <f aca="false">IF(D366="","",IFERROR(INDEX(Pacientes!$E:$E,MATCH(D366,Pacientes!$A:$A,0))&amp;"","ID no existe"))</f>
        <v/>
      </c>
      <c r="H366" s="9"/>
      <c r="I366" s="6"/>
      <c r="J366" s="6"/>
      <c r="K366" s="6"/>
      <c r="L366" s="7"/>
      <c r="M366" s="7"/>
      <c r="N366" s="6"/>
      <c r="O366" s="6"/>
    </row>
    <row r="367" customFormat="false" ht="15" hidden="false" customHeight="false" outlineLevel="0" collapsed="false">
      <c r="A367" s="6"/>
      <c r="B367" s="10"/>
      <c r="C367" s="16" t="str">
        <f aca="false">IF(B367="","",DATE(YEAR(B367),MONTH(B367),1))</f>
        <v/>
      </c>
      <c r="D367" s="6"/>
      <c r="E367" s="14" t="str">
        <f aca="false">IF(D367="","",IFERROR(INDEX(Pacientes!$Q:$Q,MATCH(D367,Pacientes!$A:$A,0))&amp;"","ID no existe"))</f>
        <v/>
      </c>
      <c r="F367" s="14" t="str">
        <f aca="false">IF(D367="","",IFERROR(INDEX(Pacientes!$D:$D,MATCH(D367,Pacientes!$A:$A,0))&amp;"","ID no existe"))</f>
        <v/>
      </c>
      <c r="G367" s="14" t="str">
        <f aca="false">IF(D367="","",IFERROR(INDEX(Pacientes!$E:$E,MATCH(D367,Pacientes!$A:$A,0))&amp;"","ID no existe"))</f>
        <v/>
      </c>
      <c r="H367" s="9"/>
      <c r="I367" s="6"/>
      <c r="J367" s="6"/>
      <c r="K367" s="6"/>
      <c r="L367" s="7"/>
      <c r="M367" s="7"/>
      <c r="N367" s="6"/>
      <c r="O367" s="6"/>
    </row>
    <row r="368" customFormat="false" ht="15" hidden="false" customHeight="false" outlineLevel="0" collapsed="false">
      <c r="A368" s="6"/>
      <c r="B368" s="10"/>
      <c r="C368" s="16" t="str">
        <f aca="false">IF(B368="","",DATE(YEAR(B368),MONTH(B368),1))</f>
        <v/>
      </c>
      <c r="D368" s="6"/>
      <c r="E368" s="14" t="str">
        <f aca="false">IF(D368="","",IFERROR(INDEX(Pacientes!$Q:$Q,MATCH(D368,Pacientes!$A:$A,0))&amp;"","ID no existe"))</f>
        <v/>
      </c>
      <c r="F368" s="14" t="str">
        <f aca="false">IF(D368="","",IFERROR(INDEX(Pacientes!$D:$D,MATCH(D368,Pacientes!$A:$A,0))&amp;"","ID no existe"))</f>
        <v/>
      </c>
      <c r="G368" s="14" t="str">
        <f aca="false">IF(D368="","",IFERROR(INDEX(Pacientes!$E:$E,MATCH(D368,Pacientes!$A:$A,0))&amp;"","ID no existe"))</f>
        <v/>
      </c>
      <c r="H368" s="9"/>
      <c r="I368" s="6"/>
      <c r="J368" s="6"/>
      <c r="K368" s="6"/>
      <c r="L368" s="7"/>
      <c r="M368" s="7"/>
      <c r="N368" s="6"/>
      <c r="O368" s="6"/>
    </row>
    <row r="369" customFormat="false" ht="15" hidden="false" customHeight="false" outlineLevel="0" collapsed="false">
      <c r="A369" s="6"/>
      <c r="B369" s="10"/>
      <c r="C369" s="16" t="str">
        <f aca="false">IF(B369="","",DATE(YEAR(B369),MONTH(B369),1))</f>
        <v/>
      </c>
      <c r="D369" s="6"/>
      <c r="E369" s="14" t="str">
        <f aca="false">IF(D369="","",IFERROR(INDEX(Pacientes!$Q:$Q,MATCH(D369,Pacientes!$A:$A,0))&amp;"","ID no existe"))</f>
        <v/>
      </c>
      <c r="F369" s="14" t="str">
        <f aca="false">IF(D369="","",IFERROR(INDEX(Pacientes!$D:$D,MATCH(D369,Pacientes!$A:$A,0))&amp;"","ID no existe"))</f>
        <v/>
      </c>
      <c r="G369" s="14" t="str">
        <f aca="false">IF(D369="","",IFERROR(INDEX(Pacientes!$E:$E,MATCH(D369,Pacientes!$A:$A,0))&amp;"","ID no existe"))</f>
        <v/>
      </c>
      <c r="H369" s="9"/>
      <c r="I369" s="6"/>
      <c r="J369" s="6"/>
      <c r="K369" s="6"/>
      <c r="L369" s="7"/>
      <c r="M369" s="7"/>
      <c r="N369" s="6"/>
      <c r="O369" s="6"/>
    </row>
    <row r="370" customFormat="false" ht="15" hidden="false" customHeight="false" outlineLevel="0" collapsed="false">
      <c r="A370" s="6"/>
      <c r="B370" s="10"/>
      <c r="C370" s="16" t="str">
        <f aca="false">IF(B370="","",DATE(YEAR(B370),MONTH(B370),1))</f>
        <v/>
      </c>
      <c r="D370" s="6"/>
      <c r="E370" s="14" t="str">
        <f aca="false">IF(D370="","",IFERROR(INDEX(Pacientes!$Q:$Q,MATCH(D370,Pacientes!$A:$A,0))&amp;"","ID no existe"))</f>
        <v/>
      </c>
      <c r="F370" s="14" t="str">
        <f aca="false">IF(D370="","",IFERROR(INDEX(Pacientes!$D:$D,MATCH(D370,Pacientes!$A:$A,0))&amp;"","ID no existe"))</f>
        <v/>
      </c>
      <c r="G370" s="14" t="str">
        <f aca="false">IF(D370="","",IFERROR(INDEX(Pacientes!$E:$E,MATCH(D370,Pacientes!$A:$A,0))&amp;"","ID no existe"))</f>
        <v/>
      </c>
      <c r="H370" s="9"/>
      <c r="I370" s="6"/>
      <c r="J370" s="6"/>
      <c r="K370" s="6"/>
      <c r="L370" s="7"/>
      <c r="M370" s="7"/>
      <c r="N370" s="6"/>
      <c r="O370" s="6"/>
    </row>
    <row r="371" customFormat="false" ht="15" hidden="false" customHeight="false" outlineLevel="0" collapsed="false">
      <c r="A371" s="6"/>
      <c r="B371" s="10"/>
      <c r="C371" s="16" t="str">
        <f aca="false">IF(B371="","",DATE(YEAR(B371),MONTH(B371),1))</f>
        <v/>
      </c>
      <c r="D371" s="6"/>
      <c r="E371" s="14" t="str">
        <f aca="false">IF(D371="","",IFERROR(INDEX(Pacientes!$Q:$Q,MATCH(D371,Pacientes!$A:$A,0))&amp;"","ID no existe"))</f>
        <v/>
      </c>
      <c r="F371" s="14" t="str">
        <f aca="false">IF(D371="","",IFERROR(INDEX(Pacientes!$D:$D,MATCH(D371,Pacientes!$A:$A,0))&amp;"","ID no existe"))</f>
        <v/>
      </c>
      <c r="G371" s="14" t="str">
        <f aca="false">IF(D371="","",IFERROR(INDEX(Pacientes!$E:$E,MATCH(D371,Pacientes!$A:$A,0))&amp;"","ID no existe"))</f>
        <v/>
      </c>
      <c r="H371" s="9"/>
      <c r="I371" s="6"/>
      <c r="J371" s="6"/>
      <c r="K371" s="6"/>
      <c r="L371" s="7"/>
      <c r="M371" s="7"/>
      <c r="N371" s="6"/>
      <c r="O371" s="6"/>
    </row>
    <row r="372" customFormat="false" ht="15" hidden="false" customHeight="false" outlineLevel="0" collapsed="false">
      <c r="A372" s="6"/>
      <c r="B372" s="10"/>
      <c r="C372" s="16" t="str">
        <f aca="false">IF(B372="","",DATE(YEAR(B372),MONTH(B372),1))</f>
        <v/>
      </c>
      <c r="D372" s="6"/>
      <c r="E372" s="14" t="str">
        <f aca="false">IF(D372="","",IFERROR(INDEX(Pacientes!$Q:$Q,MATCH(D372,Pacientes!$A:$A,0))&amp;"","ID no existe"))</f>
        <v/>
      </c>
      <c r="F372" s="14" t="str">
        <f aca="false">IF(D372="","",IFERROR(INDEX(Pacientes!$D:$D,MATCH(D372,Pacientes!$A:$A,0))&amp;"","ID no existe"))</f>
        <v/>
      </c>
      <c r="G372" s="14" t="str">
        <f aca="false">IF(D372="","",IFERROR(INDEX(Pacientes!$E:$E,MATCH(D372,Pacientes!$A:$A,0))&amp;"","ID no existe"))</f>
        <v/>
      </c>
      <c r="H372" s="9"/>
      <c r="I372" s="6"/>
      <c r="J372" s="6"/>
      <c r="K372" s="6"/>
      <c r="L372" s="7"/>
      <c r="M372" s="7"/>
      <c r="N372" s="6"/>
      <c r="O372" s="6"/>
    </row>
    <row r="373" customFormat="false" ht="15" hidden="false" customHeight="false" outlineLevel="0" collapsed="false">
      <c r="A373" s="6"/>
      <c r="B373" s="10"/>
      <c r="C373" s="16" t="str">
        <f aca="false">IF(B373="","",DATE(YEAR(B373),MONTH(B373),1))</f>
        <v/>
      </c>
      <c r="D373" s="6"/>
      <c r="E373" s="14" t="str">
        <f aca="false">IF(D373="","",IFERROR(INDEX(Pacientes!$Q:$Q,MATCH(D373,Pacientes!$A:$A,0))&amp;"","ID no existe"))</f>
        <v/>
      </c>
      <c r="F373" s="14" t="str">
        <f aca="false">IF(D373="","",IFERROR(INDEX(Pacientes!$D:$D,MATCH(D373,Pacientes!$A:$A,0))&amp;"","ID no existe"))</f>
        <v/>
      </c>
      <c r="G373" s="14" t="str">
        <f aca="false">IF(D373="","",IFERROR(INDEX(Pacientes!$E:$E,MATCH(D373,Pacientes!$A:$A,0))&amp;"","ID no existe"))</f>
        <v/>
      </c>
      <c r="H373" s="9"/>
      <c r="I373" s="6"/>
      <c r="J373" s="6"/>
      <c r="K373" s="6"/>
      <c r="L373" s="7"/>
      <c r="M373" s="7"/>
      <c r="N373" s="6"/>
      <c r="O373" s="6"/>
    </row>
    <row r="374" customFormat="false" ht="15" hidden="false" customHeight="false" outlineLevel="0" collapsed="false">
      <c r="A374" s="6"/>
      <c r="B374" s="10"/>
      <c r="C374" s="16" t="str">
        <f aca="false">IF(B374="","",DATE(YEAR(B374),MONTH(B374),1))</f>
        <v/>
      </c>
      <c r="D374" s="6"/>
      <c r="E374" s="14" t="str">
        <f aca="false">IF(D374="","",IFERROR(INDEX(Pacientes!$Q:$Q,MATCH(D374,Pacientes!$A:$A,0))&amp;"","ID no existe"))</f>
        <v/>
      </c>
      <c r="F374" s="14" t="str">
        <f aca="false">IF(D374="","",IFERROR(INDEX(Pacientes!$D:$D,MATCH(D374,Pacientes!$A:$A,0))&amp;"","ID no existe"))</f>
        <v/>
      </c>
      <c r="G374" s="14" t="str">
        <f aca="false">IF(D374="","",IFERROR(INDEX(Pacientes!$E:$E,MATCH(D374,Pacientes!$A:$A,0))&amp;"","ID no existe"))</f>
        <v/>
      </c>
      <c r="H374" s="9"/>
      <c r="I374" s="6"/>
      <c r="J374" s="6"/>
      <c r="K374" s="6"/>
      <c r="L374" s="7"/>
      <c r="M374" s="7"/>
      <c r="N374" s="6"/>
      <c r="O374" s="6"/>
    </row>
    <row r="375" customFormat="false" ht="15" hidden="false" customHeight="false" outlineLevel="0" collapsed="false">
      <c r="A375" s="6"/>
      <c r="B375" s="10"/>
      <c r="C375" s="16" t="str">
        <f aca="false">IF(B375="","",DATE(YEAR(B375),MONTH(B375),1))</f>
        <v/>
      </c>
      <c r="D375" s="6"/>
      <c r="E375" s="14" t="str">
        <f aca="false">IF(D375="","",IFERROR(INDEX(Pacientes!$Q:$Q,MATCH(D375,Pacientes!$A:$A,0))&amp;"","ID no existe"))</f>
        <v/>
      </c>
      <c r="F375" s="14" t="str">
        <f aca="false">IF(D375="","",IFERROR(INDEX(Pacientes!$D:$D,MATCH(D375,Pacientes!$A:$A,0))&amp;"","ID no existe"))</f>
        <v/>
      </c>
      <c r="G375" s="14" t="str">
        <f aca="false">IF(D375="","",IFERROR(INDEX(Pacientes!$E:$E,MATCH(D375,Pacientes!$A:$A,0))&amp;"","ID no existe"))</f>
        <v/>
      </c>
      <c r="H375" s="9"/>
      <c r="I375" s="6"/>
      <c r="J375" s="6"/>
      <c r="K375" s="6"/>
      <c r="L375" s="7"/>
      <c r="M375" s="7"/>
      <c r="N375" s="6"/>
      <c r="O375" s="6"/>
    </row>
    <row r="376" customFormat="false" ht="15" hidden="false" customHeight="false" outlineLevel="0" collapsed="false">
      <c r="A376" s="6"/>
      <c r="B376" s="10"/>
      <c r="C376" s="16" t="str">
        <f aca="false">IF(B376="","",DATE(YEAR(B376),MONTH(B376),1))</f>
        <v/>
      </c>
      <c r="D376" s="6"/>
      <c r="E376" s="14" t="str">
        <f aca="false">IF(D376="","",IFERROR(INDEX(Pacientes!$Q:$Q,MATCH(D376,Pacientes!$A:$A,0))&amp;"","ID no existe"))</f>
        <v/>
      </c>
      <c r="F376" s="14" t="str">
        <f aca="false">IF(D376="","",IFERROR(INDEX(Pacientes!$D:$D,MATCH(D376,Pacientes!$A:$A,0))&amp;"","ID no existe"))</f>
        <v/>
      </c>
      <c r="G376" s="14" t="str">
        <f aca="false">IF(D376="","",IFERROR(INDEX(Pacientes!$E:$E,MATCH(D376,Pacientes!$A:$A,0))&amp;"","ID no existe"))</f>
        <v/>
      </c>
      <c r="H376" s="9"/>
      <c r="I376" s="6"/>
      <c r="J376" s="6"/>
      <c r="K376" s="6"/>
      <c r="L376" s="7"/>
      <c r="M376" s="7"/>
      <c r="N376" s="6"/>
      <c r="O376" s="6"/>
    </row>
    <row r="377" customFormat="false" ht="15" hidden="false" customHeight="false" outlineLevel="0" collapsed="false">
      <c r="A377" s="6"/>
      <c r="B377" s="10"/>
      <c r="C377" s="16" t="str">
        <f aca="false">IF(B377="","",DATE(YEAR(B377),MONTH(B377),1))</f>
        <v/>
      </c>
      <c r="D377" s="6"/>
      <c r="E377" s="14" t="str">
        <f aca="false">IF(D377="","",IFERROR(INDEX(Pacientes!$Q:$Q,MATCH(D377,Pacientes!$A:$A,0))&amp;"","ID no existe"))</f>
        <v/>
      </c>
      <c r="F377" s="14" t="str">
        <f aca="false">IF(D377="","",IFERROR(INDEX(Pacientes!$D:$D,MATCH(D377,Pacientes!$A:$A,0))&amp;"","ID no existe"))</f>
        <v/>
      </c>
      <c r="G377" s="14" t="str">
        <f aca="false">IF(D377="","",IFERROR(INDEX(Pacientes!$E:$E,MATCH(D377,Pacientes!$A:$A,0))&amp;"","ID no existe"))</f>
        <v/>
      </c>
      <c r="H377" s="9"/>
      <c r="I377" s="6"/>
      <c r="J377" s="6"/>
      <c r="K377" s="6"/>
      <c r="L377" s="7"/>
      <c r="M377" s="7"/>
      <c r="N377" s="6"/>
      <c r="O377" s="6"/>
    </row>
    <row r="378" customFormat="false" ht="15" hidden="false" customHeight="false" outlineLevel="0" collapsed="false">
      <c r="A378" s="6"/>
      <c r="B378" s="10"/>
      <c r="C378" s="16" t="str">
        <f aca="false">IF(B378="","",DATE(YEAR(B378),MONTH(B378),1))</f>
        <v/>
      </c>
      <c r="D378" s="6"/>
      <c r="E378" s="14" t="str">
        <f aca="false">IF(D378="","",IFERROR(INDEX(Pacientes!$Q:$Q,MATCH(D378,Pacientes!$A:$A,0))&amp;"","ID no existe"))</f>
        <v/>
      </c>
      <c r="F378" s="14" t="str">
        <f aca="false">IF(D378="","",IFERROR(INDEX(Pacientes!$D:$D,MATCH(D378,Pacientes!$A:$A,0))&amp;"","ID no existe"))</f>
        <v/>
      </c>
      <c r="G378" s="14" t="str">
        <f aca="false">IF(D378="","",IFERROR(INDEX(Pacientes!$E:$E,MATCH(D378,Pacientes!$A:$A,0))&amp;"","ID no existe"))</f>
        <v/>
      </c>
      <c r="H378" s="9"/>
      <c r="I378" s="6"/>
      <c r="J378" s="6"/>
      <c r="K378" s="6"/>
      <c r="L378" s="7"/>
      <c r="M378" s="7"/>
      <c r="N378" s="6"/>
      <c r="O378" s="6"/>
    </row>
    <row r="379" customFormat="false" ht="15" hidden="false" customHeight="false" outlineLevel="0" collapsed="false">
      <c r="A379" s="6"/>
      <c r="B379" s="10"/>
      <c r="C379" s="16" t="str">
        <f aca="false">IF(B379="","",DATE(YEAR(B379),MONTH(B379),1))</f>
        <v/>
      </c>
      <c r="D379" s="6"/>
      <c r="E379" s="14" t="str">
        <f aca="false">IF(D379="","",IFERROR(INDEX(Pacientes!$Q:$Q,MATCH(D379,Pacientes!$A:$A,0))&amp;"","ID no existe"))</f>
        <v/>
      </c>
      <c r="F379" s="14" t="str">
        <f aca="false">IF(D379="","",IFERROR(INDEX(Pacientes!$D:$D,MATCH(D379,Pacientes!$A:$A,0))&amp;"","ID no existe"))</f>
        <v/>
      </c>
      <c r="G379" s="14" t="str">
        <f aca="false">IF(D379="","",IFERROR(INDEX(Pacientes!$E:$E,MATCH(D379,Pacientes!$A:$A,0))&amp;"","ID no existe"))</f>
        <v/>
      </c>
      <c r="H379" s="9"/>
      <c r="I379" s="6"/>
      <c r="J379" s="6"/>
      <c r="K379" s="6"/>
      <c r="L379" s="7"/>
      <c r="M379" s="7"/>
      <c r="N379" s="6"/>
      <c r="O379" s="6"/>
    </row>
    <row r="380" customFormat="false" ht="15" hidden="false" customHeight="false" outlineLevel="0" collapsed="false">
      <c r="A380" s="6"/>
      <c r="B380" s="10"/>
      <c r="C380" s="16" t="str">
        <f aca="false">IF(B380="","",DATE(YEAR(B380),MONTH(B380),1))</f>
        <v/>
      </c>
      <c r="D380" s="6"/>
      <c r="E380" s="14" t="str">
        <f aca="false">IF(D380="","",IFERROR(INDEX(Pacientes!$Q:$Q,MATCH(D380,Pacientes!$A:$A,0))&amp;"","ID no existe"))</f>
        <v/>
      </c>
      <c r="F380" s="14" t="str">
        <f aca="false">IF(D380="","",IFERROR(INDEX(Pacientes!$D:$D,MATCH(D380,Pacientes!$A:$A,0))&amp;"","ID no existe"))</f>
        <v/>
      </c>
      <c r="G380" s="14" t="str">
        <f aca="false">IF(D380="","",IFERROR(INDEX(Pacientes!$E:$E,MATCH(D380,Pacientes!$A:$A,0))&amp;"","ID no existe"))</f>
        <v/>
      </c>
      <c r="H380" s="9"/>
      <c r="I380" s="6"/>
      <c r="J380" s="6"/>
      <c r="K380" s="6"/>
      <c r="L380" s="7"/>
      <c r="M380" s="7"/>
      <c r="N380" s="6"/>
      <c r="O380" s="6"/>
    </row>
    <row r="381" customFormat="false" ht="15" hidden="false" customHeight="false" outlineLevel="0" collapsed="false">
      <c r="A381" s="6"/>
      <c r="B381" s="10"/>
      <c r="C381" s="16" t="str">
        <f aca="false">IF(B381="","",DATE(YEAR(B381),MONTH(B381),1))</f>
        <v/>
      </c>
      <c r="D381" s="6"/>
      <c r="E381" s="14" t="str">
        <f aca="false">IF(D381="","",IFERROR(INDEX(Pacientes!$Q:$Q,MATCH(D381,Pacientes!$A:$A,0))&amp;"","ID no existe"))</f>
        <v/>
      </c>
      <c r="F381" s="14" t="str">
        <f aca="false">IF(D381="","",IFERROR(INDEX(Pacientes!$D:$D,MATCH(D381,Pacientes!$A:$A,0))&amp;"","ID no existe"))</f>
        <v/>
      </c>
      <c r="G381" s="14" t="str">
        <f aca="false">IF(D381="","",IFERROR(INDEX(Pacientes!$E:$E,MATCH(D381,Pacientes!$A:$A,0))&amp;"","ID no existe"))</f>
        <v/>
      </c>
      <c r="H381" s="9"/>
      <c r="I381" s="6"/>
      <c r="J381" s="6"/>
      <c r="K381" s="6"/>
      <c r="L381" s="7"/>
      <c r="M381" s="7"/>
      <c r="N381" s="6"/>
      <c r="O381" s="6"/>
    </row>
    <row r="382" customFormat="false" ht="15" hidden="false" customHeight="false" outlineLevel="0" collapsed="false">
      <c r="A382" s="6"/>
      <c r="B382" s="10"/>
      <c r="C382" s="16" t="str">
        <f aca="false">IF(B382="","",DATE(YEAR(B382),MONTH(B382),1))</f>
        <v/>
      </c>
      <c r="D382" s="6"/>
      <c r="E382" s="14" t="str">
        <f aca="false">IF(D382="","",IFERROR(INDEX(Pacientes!$Q:$Q,MATCH(D382,Pacientes!$A:$A,0))&amp;"","ID no existe"))</f>
        <v/>
      </c>
      <c r="F382" s="14" t="str">
        <f aca="false">IF(D382="","",IFERROR(INDEX(Pacientes!$D:$D,MATCH(D382,Pacientes!$A:$A,0))&amp;"","ID no existe"))</f>
        <v/>
      </c>
      <c r="G382" s="14" t="str">
        <f aca="false">IF(D382="","",IFERROR(INDEX(Pacientes!$E:$E,MATCH(D382,Pacientes!$A:$A,0))&amp;"","ID no existe"))</f>
        <v/>
      </c>
      <c r="H382" s="9"/>
      <c r="I382" s="6"/>
      <c r="J382" s="6"/>
      <c r="K382" s="6"/>
      <c r="L382" s="7"/>
      <c r="M382" s="7"/>
      <c r="N382" s="6"/>
      <c r="O382" s="6"/>
    </row>
    <row r="383" customFormat="false" ht="15" hidden="false" customHeight="false" outlineLevel="0" collapsed="false">
      <c r="A383" s="6"/>
      <c r="B383" s="10"/>
      <c r="C383" s="16" t="str">
        <f aca="false">IF(B383="","",DATE(YEAR(B383),MONTH(B383),1))</f>
        <v/>
      </c>
      <c r="D383" s="6"/>
      <c r="E383" s="14" t="str">
        <f aca="false">IF(D383="","",IFERROR(INDEX(Pacientes!$Q:$Q,MATCH(D383,Pacientes!$A:$A,0))&amp;"","ID no existe"))</f>
        <v/>
      </c>
      <c r="F383" s="14" t="str">
        <f aca="false">IF(D383="","",IFERROR(INDEX(Pacientes!$D:$D,MATCH(D383,Pacientes!$A:$A,0))&amp;"","ID no existe"))</f>
        <v/>
      </c>
      <c r="G383" s="14" t="str">
        <f aca="false">IF(D383="","",IFERROR(INDEX(Pacientes!$E:$E,MATCH(D383,Pacientes!$A:$A,0))&amp;"","ID no existe"))</f>
        <v/>
      </c>
      <c r="H383" s="9"/>
      <c r="I383" s="6"/>
      <c r="J383" s="6"/>
      <c r="K383" s="6"/>
      <c r="L383" s="7"/>
      <c r="M383" s="7"/>
      <c r="N383" s="6"/>
      <c r="O383" s="6"/>
    </row>
    <row r="384" customFormat="false" ht="15" hidden="false" customHeight="false" outlineLevel="0" collapsed="false">
      <c r="A384" s="6"/>
      <c r="B384" s="10"/>
      <c r="C384" s="16" t="str">
        <f aca="false">IF(B384="","",DATE(YEAR(B384),MONTH(B384),1))</f>
        <v/>
      </c>
      <c r="D384" s="6"/>
      <c r="E384" s="14" t="str">
        <f aca="false">IF(D384="","",IFERROR(INDEX(Pacientes!$Q:$Q,MATCH(D384,Pacientes!$A:$A,0))&amp;"","ID no existe"))</f>
        <v/>
      </c>
      <c r="F384" s="14" t="str">
        <f aca="false">IF(D384="","",IFERROR(INDEX(Pacientes!$D:$D,MATCH(D384,Pacientes!$A:$A,0))&amp;"","ID no existe"))</f>
        <v/>
      </c>
      <c r="G384" s="14" t="str">
        <f aca="false">IF(D384="","",IFERROR(INDEX(Pacientes!$E:$E,MATCH(D384,Pacientes!$A:$A,0))&amp;"","ID no existe"))</f>
        <v/>
      </c>
      <c r="H384" s="9"/>
      <c r="I384" s="6"/>
      <c r="J384" s="6"/>
      <c r="K384" s="6"/>
      <c r="L384" s="7"/>
      <c r="M384" s="7"/>
      <c r="N384" s="6"/>
      <c r="O384" s="6"/>
    </row>
    <row r="385" customFormat="false" ht="15" hidden="false" customHeight="false" outlineLevel="0" collapsed="false">
      <c r="A385" s="6"/>
      <c r="B385" s="10"/>
      <c r="C385" s="16" t="str">
        <f aca="false">IF(B385="","",DATE(YEAR(B385),MONTH(B385),1))</f>
        <v/>
      </c>
      <c r="D385" s="6"/>
      <c r="E385" s="14" t="str">
        <f aca="false">IF(D385="","",IFERROR(INDEX(Pacientes!$Q:$Q,MATCH(D385,Pacientes!$A:$A,0))&amp;"","ID no existe"))</f>
        <v/>
      </c>
      <c r="F385" s="14" t="str">
        <f aca="false">IF(D385="","",IFERROR(INDEX(Pacientes!$D:$D,MATCH(D385,Pacientes!$A:$A,0))&amp;"","ID no existe"))</f>
        <v/>
      </c>
      <c r="G385" s="14" t="str">
        <f aca="false">IF(D385="","",IFERROR(INDEX(Pacientes!$E:$E,MATCH(D385,Pacientes!$A:$A,0))&amp;"","ID no existe"))</f>
        <v/>
      </c>
      <c r="H385" s="9"/>
      <c r="I385" s="6"/>
      <c r="J385" s="6"/>
      <c r="K385" s="6"/>
      <c r="L385" s="7"/>
      <c r="M385" s="7"/>
      <c r="N385" s="6"/>
      <c r="O385" s="6"/>
    </row>
    <row r="386" customFormat="false" ht="15" hidden="false" customHeight="false" outlineLevel="0" collapsed="false">
      <c r="A386" s="6"/>
      <c r="B386" s="10"/>
      <c r="C386" s="16" t="str">
        <f aca="false">IF(B386="","",DATE(YEAR(B386),MONTH(B386),1))</f>
        <v/>
      </c>
      <c r="D386" s="6"/>
      <c r="E386" s="14" t="str">
        <f aca="false">IF(D386="","",IFERROR(INDEX(Pacientes!$Q:$Q,MATCH(D386,Pacientes!$A:$A,0))&amp;"","ID no existe"))</f>
        <v/>
      </c>
      <c r="F386" s="14" t="str">
        <f aca="false">IF(D386="","",IFERROR(INDEX(Pacientes!$D:$D,MATCH(D386,Pacientes!$A:$A,0))&amp;"","ID no existe"))</f>
        <v/>
      </c>
      <c r="G386" s="14" t="str">
        <f aca="false">IF(D386="","",IFERROR(INDEX(Pacientes!$E:$E,MATCH(D386,Pacientes!$A:$A,0))&amp;"","ID no existe"))</f>
        <v/>
      </c>
      <c r="H386" s="9"/>
      <c r="I386" s="6"/>
      <c r="J386" s="6"/>
      <c r="K386" s="6"/>
      <c r="L386" s="7"/>
      <c r="M386" s="7"/>
      <c r="N386" s="6"/>
      <c r="O386" s="6"/>
    </row>
    <row r="387" customFormat="false" ht="15" hidden="false" customHeight="false" outlineLevel="0" collapsed="false">
      <c r="A387" s="6"/>
      <c r="B387" s="10"/>
      <c r="C387" s="16" t="str">
        <f aca="false">IF(B387="","",DATE(YEAR(B387),MONTH(B387),1))</f>
        <v/>
      </c>
      <c r="D387" s="6"/>
      <c r="E387" s="14" t="str">
        <f aca="false">IF(D387="","",IFERROR(INDEX(Pacientes!$Q:$Q,MATCH(D387,Pacientes!$A:$A,0))&amp;"","ID no existe"))</f>
        <v/>
      </c>
      <c r="F387" s="14" t="str">
        <f aca="false">IF(D387="","",IFERROR(INDEX(Pacientes!$D:$D,MATCH(D387,Pacientes!$A:$A,0))&amp;"","ID no existe"))</f>
        <v/>
      </c>
      <c r="G387" s="14" t="str">
        <f aca="false">IF(D387="","",IFERROR(INDEX(Pacientes!$E:$E,MATCH(D387,Pacientes!$A:$A,0))&amp;"","ID no existe"))</f>
        <v/>
      </c>
      <c r="H387" s="9"/>
      <c r="I387" s="6"/>
      <c r="J387" s="6"/>
      <c r="K387" s="6"/>
      <c r="L387" s="7"/>
      <c r="M387" s="7"/>
      <c r="N387" s="6"/>
      <c r="O387" s="6"/>
    </row>
    <row r="388" customFormat="false" ht="15" hidden="false" customHeight="false" outlineLevel="0" collapsed="false">
      <c r="A388" s="6"/>
      <c r="B388" s="10"/>
      <c r="C388" s="16" t="str">
        <f aca="false">IF(B388="","",DATE(YEAR(B388),MONTH(B388),1))</f>
        <v/>
      </c>
      <c r="D388" s="6"/>
      <c r="E388" s="14" t="str">
        <f aca="false">IF(D388="","",IFERROR(INDEX(Pacientes!$Q:$Q,MATCH(D388,Pacientes!$A:$A,0))&amp;"","ID no existe"))</f>
        <v/>
      </c>
      <c r="F388" s="14" t="str">
        <f aca="false">IF(D388="","",IFERROR(INDEX(Pacientes!$D:$D,MATCH(D388,Pacientes!$A:$A,0))&amp;"","ID no existe"))</f>
        <v/>
      </c>
      <c r="G388" s="14" t="str">
        <f aca="false">IF(D388="","",IFERROR(INDEX(Pacientes!$E:$E,MATCH(D388,Pacientes!$A:$A,0))&amp;"","ID no existe"))</f>
        <v/>
      </c>
      <c r="H388" s="9"/>
      <c r="I388" s="6"/>
      <c r="J388" s="6"/>
      <c r="K388" s="6"/>
      <c r="L388" s="7"/>
      <c r="M388" s="7"/>
      <c r="N388" s="6"/>
      <c r="O388" s="6"/>
    </row>
    <row r="389" customFormat="false" ht="15" hidden="false" customHeight="false" outlineLevel="0" collapsed="false">
      <c r="A389" s="6"/>
      <c r="B389" s="10"/>
      <c r="C389" s="16" t="str">
        <f aca="false">IF(B389="","",DATE(YEAR(B389),MONTH(B389),1))</f>
        <v/>
      </c>
      <c r="D389" s="6"/>
      <c r="E389" s="14" t="str">
        <f aca="false">IF(D389="","",IFERROR(INDEX(Pacientes!$Q:$Q,MATCH(D389,Pacientes!$A:$A,0))&amp;"","ID no existe"))</f>
        <v/>
      </c>
      <c r="F389" s="14" t="str">
        <f aca="false">IF(D389="","",IFERROR(INDEX(Pacientes!$D:$D,MATCH(D389,Pacientes!$A:$A,0))&amp;"","ID no existe"))</f>
        <v/>
      </c>
      <c r="G389" s="14" t="str">
        <f aca="false">IF(D389="","",IFERROR(INDEX(Pacientes!$E:$E,MATCH(D389,Pacientes!$A:$A,0))&amp;"","ID no existe"))</f>
        <v/>
      </c>
      <c r="H389" s="9"/>
      <c r="I389" s="6"/>
      <c r="J389" s="6"/>
      <c r="K389" s="6"/>
      <c r="L389" s="7"/>
      <c r="M389" s="7"/>
      <c r="N389" s="6"/>
      <c r="O389" s="6"/>
    </row>
    <row r="390" customFormat="false" ht="15" hidden="false" customHeight="false" outlineLevel="0" collapsed="false">
      <c r="A390" s="6"/>
      <c r="B390" s="10"/>
      <c r="C390" s="16" t="str">
        <f aca="false">IF(B390="","",DATE(YEAR(B390),MONTH(B390),1))</f>
        <v/>
      </c>
      <c r="D390" s="6"/>
      <c r="E390" s="14" t="str">
        <f aca="false">IF(D390="","",IFERROR(INDEX(Pacientes!$Q:$Q,MATCH(D390,Pacientes!$A:$A,0))&amp;"","ID no existe"))</f>
        <v/>
      </c>
      <c r="F390" s="14" t="str">
        <f aca="false">IF(D390="","",IFERROR(INDEX(Pacientes!$D:$D,MATCH(D390,Pacientes!$A:$A,0))&amp;"","ID no existe"))</f>
        <v/>
      </c>
      <c r="G390" s="14" t="str">
        <f aca="false">IF(D390="","",IFERROR(INDEX(Pacientes!$E:$E,MATCH(D390,Pacientes!$A:$A,0))&amp;"","ID no existe"))</f>
        <v/>
      </c>
      <c r="H390" s="9"/>
      <c r="I390" s="6"/>
      <c r="J390" s="6"/>
      <c r="K390" s="6"/>
      <c r="L390" s="7"/>
      <c r="M390" s="7"/>
      <c r="N390" s="6"/>
      <c r="O390" s="6"/>
    </row>
    <row r="391" customFormat="false" ht="15" hidden="false" customHeight="false" outlineLevel="0" collapsed="false">
      <c r="A391" s="6"/>
      <c r="B391" s="10"/>
      <c r="C391" s="16" t="str">
        <f aca="false">IF(B391="","",DATE(YEAR(B391),MONTH(B391),1))</f>
        <v/>
      </c>
      <c r="D391" s="6"/>
      <c r="E391" s="14" t="str">
        <f aca="false">IF(D391="","",IFERROR(INDEX(Pacientes!$Q:$Q,MATCH(D391,Pacientes!$A:$A,0))&amp;"","ID no existe"))</f>
        <v/>
      </c>
      <c r="F391" s="14" t="str">
        <f aca="false">IF(D391="","",IFERROR(INDEX(Pacientes!$D:$D,MATCH(D391,Pacientes!$A:$A,0))&amp;"","ID no existe"))</f>
        <v/>
      </c>
      <c r="G391" s="14" t="str">
        <f aca="false">IF(D391="","",IFERROR(INDEX(Pacientes!$E:$E,MATCH(D391,Pacientes!$A:$A,0))&amp;"","ID no existe"))</f>
        <v/>
      </c>
      <c r="H391" s="9"/>
      <c r="I391" s="6"/>
      <c r="J391" s="6"/>
      <c r="K391" s="6"/>
      <c r="L391" s="7"/>
      <c r="M391" s="7"/>
      <c r="N391" s="6"/>
      <c r="O391" s="6"/>
    </row>
    <row r="392" customFormat="false" ht="15" hidden="false" customHeight="false" outlineLevel="0" collapsed="false">
      <c r="A392" s="6"/>
      <c r="B392" s="10"/>
      <c r="C392" s="16" t="str">
        <f aca="false">IF(B392="","",DATE(YEAR(B392),MONTH(B392),1))</f>
        <v/>
      </c>
      <c r="D392" s="6"/>
      <c r="E392" s="14" t="str">
        <f aca="false">IF(D392="","",IFERROR(INDEX(Pacientes!$Q:$Q,MATCH(D392,Pacientes!$A:$A,0))&amp;"","ID no existe"))</f>
        <v/>
      </c>
      <c r="F392" s="14" t="str">
        <f aca="false">IF(D392="","",IFERROR(INDEX(Pacientes!$D:$D,MATCH(D392,Pacientes!$A:$A,0))&amp;"","ID no existe"))</f>
        <v/>
      </c>
      <c r="G392" s="14" t="str">
        <f aca="false">IF(D392="","",IFERROR(INDEX(Pacientes!$E:$E,MATCH(D392,Pacientes!$A:$A,0))&amp;"","ID no existe"))</f>
        <v/>
      </c>
      <c r="H392" s="9"/>
      <c r="I392" s="6"/>
      <c r="J392" s="6"/>
      <c r="K392" s="6"/>
      <c r="L392" s="7"/>
      <c r="M392" s="7"/>
      <c r="N392" s="6"/>
      <c r="O392" s="6"/>
    </row>
    <row r="393" customFormat="false" ht="15" hidden="false" customHeight="false" outlineLevel="0" collapsed="false">
      <c r="A393" s="6"/>
      <c r="B393" s="10"/>
      <c r="C393" s="16" t="str">
        <f aca="false">IF(B393="","",DATE(YEAR(B393),MONTH(B393),1))</f>
        <v/>
      </c>
      <c r="D393" s="6"/>
      <c r="E393" s="14" t="str">
        <f aca="false">IF(D393="","",IFERROR(INDEX(Pacientes!$Q:$Q,MATCH(D393,Pacientes!$A:$A,0))&amp;"","ID no existe"))</f>
        <v/>
      </c>
      <c r="F393" s="14" t="str">
        <f aca="false">IF(D393="","",IFERROR(INDEX(Pacientes!$D:$D,MATCH(D393,Pacientes!$A:$A,0))&amp;"","ID no existe"))</f>
        <v/>
      </c>
      <c r="G393" s="14" t="str">
        <f aca="false">IF(D393="","",IFERROR(INDEX(Pacientes!$E:$E,MATCH(D393,Pacientes!$A:$A,0))&amp;"","ID no existe"))</f>
        <v/>
      </c>
      <c r="H393" s="9"/>
      <c r="I393" s="6"/>
      <c r="J393" s="6"/>
      <c r="K393" s="6"/>
      <c r="L393" s="7"/>
      <c r="M393" s="7"/>
      <c r="N393" s="6"/>
      <c r="O393" s="6"/>
    </row>
    <row r="394" customFormat="false" ht="15" hidden="false" customHeight="false" outlineLevel="0" collapsed="false">
      <c r="A394" s="6"/>
      <c r="B394" s="10"/>
      <c r="C394" s="16" t="str">
        <f aca="false">IF(B394="","",DATE(YEAR(B394),MONTH(B394),1))</f>
        <v/>
      </c>
      <c r="D394" s="6"/>
      <c r="E394" s="14" t="str">
        <f aca="false">IF(D394="","",IFERROR(INDEX(Pacientes!$Q:$Q,MATCH(D394,Pacientes!$A:$A,0))&amp;"","ID no existe"))</f>
        <v/>
      </c>
      <c r="F394" s="14" t="str">
        <f aca="false">IF(D394="","",IFERROR(INDEX(Pacientes!$D:$D,MATCH(D394,Pacientes!$A:$A,0))&amp;"","ID no existe"))</f>
        <v/>
      </c>
      <c r="G394" s="14" t="str">
        <f aca="false">IF(D394="","",IFERROR(INDEX(Pacientes!$E:$E,MATCH(D394,Pacientes!$A:$A,0))&amp;"","ID no existe"))</f>
        <v/>
      </c>
      <c r="H394" s="9"/>
      <c r="I394" s="6"/>
      <c r="J394" s="6"/>
      <c r="K394" s="6"/>
      <c r="L394" s="7"/>
      <c r="M394" s="7"/>
      <c r="N394" s="6"/>
      <c r="O394" s="6"/>
    </row>
    <row r="395" customFormat="false" ht="15" hidden="false" customHeight="false" outlineLevel="0" collapsed="false">
      <c r="A395" s="6"/>
      <c r="B395" s="10"/>
      <c r="C395" s="16" t="str">
        <f aca="false">IF(B395="","",DATE(YEAR(B395),MONTH(B395),1))</f>
        <v/>
      </c>
      <c r="D395" s="6"/>
      <c r="E395" s="14" t="str">
        <f aca="false">IF(D395="","",IFERROR(INDEX(Pacientes!$Q:$Q,MATCH(D395,Pacientes!$A:$A,0))&amp;"","ID no existe"))</f>
        <v/>
      </c>
      <c r="F395" s="14" t="str">
        <f aca="false">IF(D395="","",IFERROR(INDEX(Pacientes!$D:$D,MATCH(D395,Pacientes!$A:$A,0))&amp;"","ID no existe"))</f>
        <v/>
      </c>
      <c r="G395" s="14" t="str">
        <f aca="false">IF(D395="","",IFERROR(INDEX(Pacientes!$E:$E,MATCH(D395,Pacientes!$A:$A,0))&amp;"","ID no existe"))</f>
        <v/>
      </c>
      <c r="H395" s="9"/>
      <c r="I395" s="6"/>
      <c r="J395" s="6"/>
      <c r="K395" s="6"/>
      <c r="L395" s="7"/>
      <c r="M395" s="7"/>
      <c r="N395" s="6"/>
      <c r="O395" s="6"/>
    </row>
    <row r="396" customFormat="false" ht="15" hidden="false" customHeight="false" outlineLevel="0" collapsed="false">
      <c r="A396" s="6"/>
      <c r="B396" s="10"/>
      <c r="C396" s="16" t="str">
        <f aca="false">IF(B396="","",DATE(YEAR(B396),MONTH(B396),1))</f>
        <v/>
      </c>
      <c r="D396" s="6"/>
      <c r="E396" s="14" t="str">
        <f aca="false">IF(D396="","",IFERROR(INDEX(Pacientes!$Q:$Q,MATCH(D396,Pacientes!$A:$A,0))&amp;"","ID no existe"))</f>
        <v/>
      </c>
      <c r="F396" s="14" t="str">
        <f aca="false">IF(D396="","",IFERROR(INDEX(Pacientes!$D:$D,MATCH(D396,Pacientes!$A:$A,0))&amp;"","ID no existe"))</f>
        <v/>
      </c>
      <c r="G396" s="14" t="str">
        <f aca="false">IF(D396="","",IFERROR(INDEX(Pacientes!$E:$E,MATCH(D396,Pacientes!$A:$A,0))&amp;"","ID no existe"))</f>
        <v/>
      </c>
      <c r="H396" s="9"/>
      <c r="I396" s="6"/>
      <c r="J396" s="6"/>
      <c r="K396" s="6"/>
      <c r="L396" s="7"/>
      <c r="M396" s="7"/>
      <c r="N396" s="6"/>
      <c r="O396" s="6"/>
    </row>
    <row r="397" customFormat="false" ht="15" hidden="false" customHeight="false" outlineLevel="0" collapsed="false">
      <c r="A397" s="6"/>
      <c r="B397" s="10"/>
      <c r="C397" s="16" t="str">
        <f aca="false">IF(B397="","",DATE(YEAR(B397),MONTH(B397),1))</f>
        <v/>
      </c>
      <c r="D397" s="6"/>
      <c r="E397" s="14" t="str">
        <f aca="false">IF(D397="","",IFERROR(INDEX(Pacientes!$Q:$Q,MATCH(D397,Pacientes!$A:$A,0))&amp;"","ID no existe"))</f>
        <v/>
      </c>
      <c r="F397" s="14" t="str">
        <f aca="false">IF(D397="","",IFERROR(INDEX(Pacientes!$D:$D,MATCH(D397,Pacientes!$A:$A,0))&amp;"","ID no existe"))</f>
        <v/>
      </c>
      <c r="G397" s="14" t="str">
        <f aca="false">IF(D397="","",IFERROR(INDEX(Pacientes!$E:$E,MATCH(D397,Pacientes!$A:$A,0))&amp;"","ID no existe"))</f>
        <v/>
      </c>
      <c r="H397" s="9"/>
      <c r="I397" s="6"/>
      <c r="J397" s="6"/>
      <c r="K397" s="6"/>
      <c r="L397" s="7"/>
      <c r="M397" s="7"/>
      <c r="N397" s="6"/>
      <c r="O397" s="6"/>
    </row>
    <row r="398" customFormat="false" ht="15" hidden="false" customHeight="false" outlineLevel="0" collapsed="false">
      <c r="A398" s="6"/>
      <c r="B398" s="10"/>
      <c r="C398" s="16" t="str">
        <f aca="false">IF(B398="","",DATE(YEAR(B398),MONTH(B398),1))</f>
        <v/>
      </c>
      <c r="D398" s="6"/>
      <c r="E398" s="14" t="str">
        <f aca="false">IF(D398="","",IFERROR(INDEX(Pacientes!$Q:$Q,MATCH(D398,Pacientes!$A:$A,0))&amp;"","ID no existe"))</f>
        <v/>
      </c>
      <c r="F398" s="14" t="str">
        <f aca="false">IF(D398="","",IFERROR(INDEX(Pacientes!$D:$D,MATCH(D398,Pacientes!$A:$A,0))&amp;"","ID no existe"))</f>
        <v/>
      </c>
      <c r="G398" s="14" t="str">
        <f aca="false">IF(D398="","",IFERROR(INDEX(Pacientes!$E:$E,MATCH(D398,Pacientes!$A:$A,0))&amp;"","ID no existe"))</f>
        <v/>
      </c>
      <c r="H398" s="9"/>
      <c r="I398" s="6"/>
      <c r="J398" s="6"/>
      <c r="K398" s="6"/>
      <c r="L398" s="7"/>
      <c r="M398" s="7"/>
      <c r="N398" s="6"/>
      <c r="O398" s="6"/>
    </row>
    <row r="399" customFormat="false" ht="15" hidden="false" customHeight="false" outlineLevel="0" collapsed="false">
      <c r="A399" s="6"/>
      <c r="B399" s="10"/>
      <c r="C399" s="16" t="str">
        <f aca="false">IF(B399="","",DATE(YEAR(B399),MONTH(B399),1))</f>
        <v/>
      </c>
      <c r="D399" s="6"/>
      <c r="E399" s="14" t="str">
        <f aca="false">IF(D399="","",IFERROR(INDEX(Pacientes!$Q:$Q,MATCH(D399,Pacientes!$A:$A,0))&amp;"","ID no existe"))</f>
        <v/>
      </c>
      <c r="F399" s="14" t="str">
        <f aca="false">IF(D399="","",IFERROR(INDEX(Pacientes!$D:$D,MATCH(D399,Pacientes!$A:$A,0))&amp;"","ID no existe"))</f>
        <v/>
      </c>
      <c r="G399" s="14" t="str">
        <f aca="false">IF(D399="","",IFERROR(INDEX(Pacientes!$E:$E,MATCH(D399,Pacientes!$A:$A,0))&amp;"","ID no existe"))</f>
        <v/>
      </c>
      <c r="H399" s="9"/>
      <c r="I399" s="6"/>
      <c r="J399" s="6"/>
      <c r="K399" s="6"/>
      <c r="L399" s="7"/>
      <c r="M399" s="7"/>
      <c r="N399" s="6"/>
      <c r="O399" s="6"/>
    </row>
    <row r="400" customFormat="false" ht="15" hidden="false" customHeight="false" outlineLevel="0" collapsed="false">
      <c r="A400" s="6"/>
      <c r="B400" s="10"/>
      <c r="C400" s="16" t="str">
        <f aca="false">IF(B400="","",DATE(YEAR(B400),MONTH(B400),1))</f>
        <v/>
      </c>
      <c r="D400" s="6"/>
      <c r="E400" s="14" t="str">
        <f aca="false">IF(D400="","",IFERROR(INDEX(Pacientes!$Q:$Q,MATCH(D400,Pacientes!$A:$A,0))&amp;"","ID no existe"))</f>
        <v/>
      </c>
      <c r="F400" s="14" t="str">
        <f aca="false">IF(D400="","",IFERROR(INDEX(Pacientes!$D:$D,MATCH(D400,Pacientes!$A:$A,0))&amp;"","ID no existe"))</f>
        <v/>
      </c>
      <c r="G400" s="14" t="str">
        <f aca="false">IF(D400="","",IFERROR(INDEX(Pacientes!$E:$E,MATCH(D400,Pacientes!$A:$A,0))&amp;"","ID no existe"))</f>
        <v/>
      </c>
      <c r="H400" s="9"/>
      <c r="I400" s="6"/>
      <c r="J400" s="6"/>
      <c r="K400" s="6"/>
      <c r="L400" s="7"/>
      <c r="M400" s="7"/>
      <c r="N400" s="6"/>
      <c r="O400" s="6"/>
    </row>
    <row r="401" customFormat="false" ht="15" hidden="false" customHeight="false" outlineLevel="0" collapsed="false">
      <c r="A401" s="6"/>
      <c r="B401" s="10"/>
      <c r="C401" s="16" t="str">
        <f aca="false">IF(B401="","",DATE(YEAR(B401),MONTH(B401),1))</f>
        <v/>
      </c>
      <c r="D401" s="6"/>
      <c r="E401" s="14" t="str">
        <f aca="false">IF(D401="","",IFERROR(INDEX(Pacientes!$Q:$Q,MATCH(D401,Pacientes!$A:$A,0))&amp;"","ID no existe"))</f>
        <v/>
      </c>
      <c r="F401" s="14" t="str">
        <f aca="false">IF(D401="","",IFERROR(INDEX(Pacientes!$D:$D,MATCH(D401,Pacientes!$A:$A,0))&amp;"","ID no existe"))</f>
        <v/>
      </c>
      <c r="G401" s="14" t="str">
        <f aca="false">IF(D401="","",IFERROR(INDEX(Pacientes!$E:$E,MATCH(D401,Pacientes!$A:$A,0))&amp;"","ID no existe"))</f>
        <v/>
      </c>
      <c r="H401" s="9"/>
      <c r="I401" s="6"/>
      <c r="J401" s="6"/>
      <c r="K401" s="6"/>
      <c r="L401" s="7"/>
      <c r="M401" s="7"/>
      <c r="N401" s="6"/>
      <c r="O401" s="6"/>
    </row>
    <row r="402" customFormat="false" ht="15" hidden="false" customHeight="false" outlineLevel="0" collapsed="false">
      <c r="A402" s="6"/>
      <c r="B402" s="10"/>
      <c r="C402" s="16" t="str">
        <f aca="false">IF(B402="","",DATE(YEAR(B402),MONTH(B402),1))</f>
        <v/>
      </c>
      <c r="D402" s="6"/>
      <c r="E402" s="14" t="str">
        <f aca="false">IF(D402="","",IFERROR(INDEX(Pacientes!$Q:$Q,MATCH(D402,Pacientes!$A:$A,0))&amp;"","ID no existe"))</f>
        <v/>
      </c>
      <c r="F402" s="14" t="str">
        <f aca="false">IF(D402="","",IFERROR(INDEX(Pacientes!$D:$D,MATCH(D402,Pacientes!$A:$A,0))&amp;"","ID no existe"))</f>
        <v/>
      </c>
      <c r="G402" s="14" t="str">
        <f aca="false">IF(D402="","",IFERROR(INDEX(Pacientes!$E:$E,MATCH(D402,Pacientes!$A:$A,0))&amp;"","ID no existe"))</f>
        <v/>
      </c>
      <c r="H402" s="9"/>
      <c r="I402" s="6"/>
      <c r="J402" s="6"/>
      <c r="K402" s="6"/>
      <c r="L402" s="7"/>
      <c r="M402" s="7"/>
      <c r="N402" s="6"/>
      <c r="O402" s="6"/>
    </row>
    <row r="403" customFormat="false" ht="15" hidden="false" customHeight="false" outlineLevel="0" collapsed="false">
      <c r="A403" s="6"/>
      <c r="B403" s="10"/>
      <c r="C403" s="16" t="str">
        <f aca="false">IF(B403="","",DATE(YEAR(B403),MONTH(B403),1))</f>
        <v/>
      </c>
      <c r="D403" s="6"/>
      <c r="E403" s="14" t="str">
        <f aca="false">IF(D403="","",IFERROR(INDEX(Pacientes!$Q:$Q,MATCH(D403,Pacientes!$A:$A,0))&amp;"","ID no existe"))</f>
        <v/>
      </c>
      <c r="F403" s="14" t="str">
        <f aca="false">IF(D403="","",IFERROR(INDEX(Pacientes!$D:$D,MATCH(D403,Pacientes!$A:$A,0))&amp;"","ID no existe"))</f>
        <v/>
      </c>
      <c r="G403" s="14" t="str">
        <f aca="false">IF(D403="","",IFERROR(INDEX(Pacientes!$E:$E,MATCH(D403,Pacientes!$A:$A,0))&amp;"","ID no existe"))</f>
        <v/>
      </c>
      <c r="H403" s="9"/>
      <c r="I403" s="6"/>
      <c r="J403" s="6"/>
      <c r="K403" s="6"/>
      <c r="L403" s="7"/>
      <c r="M403" s="7"/>
      <c r="N403" s="6"/>
      <c r="O403" s="6"/>
    </row>
    <row r="404" customFormat="false" ht="15" hidden="false" customHeight="false" outlineLevel="0" collapsed="false">
      <c r="A404" s="6"/>
      <c r="B404" s="10"/>
      <c r="C404" s="16" t="str">
        <f aca="false">IF(B404="","",DATE(YEAR(B404),MONTH(B404),1))</f>
        <v/>
      </c>
      <c r="D404" s="6"/>
      <c r="E404" s="14" t="str">
        <f aca="false">IF(D404="","",IFERROR(INDEX(Pacientes!$Q:$Q,MATCH(D404,Pacientes!$A:$A,0))&amp;"","ID no existe"))</f>
        <v/>
      </c>
      <c r="F404" s="14" t="str">
        <f aca="false">IF(D404="","",IFERROR(INDEX(Pacientes!$D:$D,MATCH(D404,Pacientes!$A:$A,0))&amp;"","ID no existe"))</f>
        <v/>
      </c>
      <c r="G404" s="14" t="str">
        <f aca="false">IF(D404="","",IFERROR(INDEX(Pacientes!$E:$E,MATCH(D404,Pacientes!$A:$A,0))&amp;"","ID no existe"))</f>
        <v/>
      </c>
      <c r="H404" s="9"/>
      <c r="I404" s="6"/>
      <c r="J404" s="6"/>
      <c r="K404" s="6"/>
      <c r="L404" s="7"/>
      <c r="M404" s="7"/>
      <c r="N404" s="6"/>
      <c r="O404" s="6"/>
    </row>
    <row r="405" customFormat="false" ht="15" hidden="false" customHeight="false" outlineLevel="0" collapsed="false">
      <c r="A405" s="6"/>
      <c r="B405" s="10"/>
      <c r="C405" s="16" t="str">
        <f aca="false">IF(B405="","",DATE(YEAR(B405),MONTH(B405),1))</f>
        <v/>
      </c>
      <c r="D405" s="6"/>
      <c r="E405" s="14" t="str">
        <f aca="false">IF(D405="","",IFERROR(INDEX(Pacientes!$Q:$Q,MATCH(D405,Pacientes!$A:$A,0))&amp;"","ID no existe"))</f>
        <v/>
      </c>
      <c r="F405" s="14" t="str">
        <f aca="false">IF(D405="","",IFERROR(INDEX(Pacientes!$D:$D,MATCH(D405,Pacientes!$A:$A,0))&amp;"","ID no existe"))</f>
        <v/>
      </c>
      <c r="G405" s="14" t="str">
        <f aca="false">IF(D405="","",IFERROR(INDEX(Pacientes!$E:$E,MATCH(D405,Pacientes!$A:$A,0))&amp;"","ID no existe"))</f>
        <v/>
      </c>
      <c r="H405" s="9"/>
      <c r="I405" s="6"/>
      <c r="J405" s="6"/>
      <c r="K405" s="6"/>
      <c r="L405" s="7"/>
      <c r="M405" s="7"/>
      <c r="N405" s="6"/>
      <c r="O405" s="6"/>
    </row>
    <row r="406" customFormat="false" ht="15" hidden="false" customHeight="false" outlineLevel="0" collapsed="false">
      <c r="A406" s="6"/>
      <c r="B406" s="10"/>
      <c r="C406" s="16" t="str">
        <f aca="false">IF(B406="","",DATE(YEAR(B406),MONTH(B406),1))</f>
        <v/>
      </c>
      <c r="D406" s="6"/>
      <c r="E406" s="14" t="str">
        <f aca="false">IF(D406="","",IFERROR(INDEX(Pacientes!$Q:$Q,MATCH(D406,Pacientes!$A:$A,0))&amp;"","ID no existe"))</f>
        <v/>
      </c>
      <c r="F406" s="14" t="str">
        <f aca="false">IF(D406="","",IFERROR(INDEX(Pacientes!$D:$D,MATCH(D406,Pacientes!$A:$A,0))&amp;"","ID no existe"))</f>
        <v/>
      </c>
      <c r="G406" s="14" t="str">
        <f aca="false">IF(D406="","",IFERROR(INDEX(Pacientes!$E:$E,MATCH(D406,Pacientes!$A:$A,0))&amp;"","ID no existe"))</f>
        <v/>
      </c>
      <c r="H406" s="9"/>
      <c r="I406" s="6"/>
      <c r="J406" s="6"/>
      <c r="K406" s="6"/>
      <c r="L406" s="7"/>
      <c r="M406" s="7"/>
      <c r="N406" s="6"/>
      <c r="O406" s="6"/>
    </row>
    <row r="407" customFormat="false" ht="15" hidden="false" customHeight="false" outlineLevel="0" collapsed="false">
      <c r="A407" s="6"/>
      <c r="B407" s="10"/>
      <c r="C407" s="16" t="str">
        <f aca="false">IF(B407="","",DATE(YEAR(B407),MONTH(B407),1))</f>
        <v/>
      </c>
      <c r="D407" s="6"/>
      <c r="E407" s="14" t="str">
        <f aca="false">IF(D407="","",IFERROR(INDEX(Pacientes!$Q:$Q,MATCH(D407,Pacientes!$A:$A,0))&amp;"","ID no existe"))</f>
        <v/>
      </c>
      <c r="F407" s="14" t="str">
        <f aca="false">IF(D407="","",IFERROR(INDEX(Pacientes!$D:$D,MATCH(D407,Pacientes!$A:$A,0))&amp;"","ID no existe"))</f>
        <v/>
      </c>
      <c r="G407" s="14" t="str">
        <f aca="false">IF(D407="","",IFERROR(INDEX(Pacientes!$E:$E,MATCH(D407,Pacientes!$A:$A,0))&amp;"","ID no existe"))</f>
        <v/>
      </c>
      <c r="H407" s="9"/>
      <c r="I407" s="6"/>
      <c r="J407" s="6"/>
      <c r="K407" s="6"/>
      <c r="L407" s="7"/>
      <c r="M407" s="7"/>
      <c r="N407" s="6"/>
      <c r="O407" s="6"/>
    </row>
    <row r="408" customFormat="false" ht="15" hidden="false" customHeight="false" outlineLevel="0" collapsed="false">
      <c r="A408" s="6"/>
      <c r="B408" s="10"/>
      <c r="C408" s="16" t="str">
        <f aca="false">IF(B408="","",DATE(YEAR(B408),MONTH(B408),1))</f>
        <v/>
      </c>
      <c r="D408" s="6"/>
      <c r="E408" s="14" t="str">
        <f aca="false">IF(D408="","",IFERROR(INDEX(Pacientes!$Q:$Q,MATCH(D408,Pacientes!$A:$A,0))&amp;"","ID no existe"))</f>
        <v/>
      </c>
      <c r="F408" s="14" t="str">
        <f aca="false">IF(D408="","",IFERROR(INDEX(Pacientes!$D:$D,MATCH(D408,Pacientes!$A:$A,0))&amp;"","ID no existe"))</f>
        <v/>
      </c>
      <c r="G408" s="14" t="str">
        <f aca="false">IF(D408="","",IFERROR(INDEX(Pacientes!$E:$E,MATCH(D408,Pacientes!$A:$A,0))&amp;"","ID no existe"))</f>
        <v/>
      </c>
      <c r="H408" s="9"/>
      <c r="I408" s="6"/>
      <c r="J408" s="6"/>
      <c r="K408" s="6"/>
      <c r="L408" s="7"/>
      <c r="M408" s="7"/>
      <c r="N408" s="6"/>
      <c r="O408" s="6"/>
    </row>
    <row r="409" customFormat="false" ht="15" hidden="false" customHeight="false" outlineLevel="0" collapsed="false">
      <c r="A409" s="6"/>
      <c r="B409" s="10"/>
      <c r="C409" s="16" t="str">
        <f aca="false">IF(B409="","",DATE(YEAR(B409),MONTH(B409),1))</f>
        <v/>
      </c>
      <c r="D409" s="6"/>
      <c r="E409" s="14" t="str">
        <f aca="false">IF(D409="","",IFERROR(INDEX(Pacientes!$Q:$Q,MATCH(D409,Pacientes!$A:$A,0))&amp;"","ID no existe"))</f>
        <v/>
      </c>
      <c r="F409" s="14" t="str">
        <f aca="false">IF(D409="","",IFERROR(INDEX(Pacientes!$D:$D,MATCH(D409,Pacientes!$A:$A,0))&amp;"","ID no existe"))</f>
        <v/>
      </c>
      <c r="G409" s="14" t="str">
        <f aca="false">IF(D409="","",IFERROR(INDEX(Pacientes!$E:$E,MATCH(D409,Pacientes!$A:$A,0))&amp;"","ID no existe"))</f>
        <v/>
      </c>
      <c r="H409" s="9"/>
      <c r="I409" s="6"/>
      <c r="J409" s="6"/>
      <c r="K409" s="6"/>
      <c r="L409" s="7"/>
      <c r="M409" s="7"/>
      <c r="N409" s="6"/>
      <c r="O409" s="6"/>
    </row>
    <row r="410" customFormat="false" ht="15" hidden="false" customHeight="false" outlineLevel="0" collapsed="false">
      <c r="A410" s="6"/>
      <c r="B410" s="10"/>
      <c r="C410" s="16" t="str">
        <f aca="false">IF(B410="","",DATE(YEAR(B410),MONTH(B410),1))</f>
        <v/>
      </c>
      <c r="D410" s="6"/>
      <c r="E410" s="14" t="str">
        <f aca="false">IF(D410="","",IFERROR(INDEX(Pacientes!$Q:$Q,MATCH(D410,Pacientes!$A:$A,0))&amp;"","ID no existe"))</f>
        <v/>
      </c>
      <c r="F410" s="14" t="str">
        <f aca="false">IF(D410="","",IFERROR(INDEX(Pacientes!$D:$D,MATCH(D410,Pacientes!$A:$A,0))&amp;"","ID no existe"))</f>
        <v/>
      </c>
      <c r="G410" s="14" t="str">
        <f aca="false">IF(D410="","",IFERROR(INDEX(Pacientes!$E:$E,MATCH(D410,Pacientes!$A:$A,0))&amp;"","ID no existe"))</f>
        <v/>
      </c>
      <c r="H410" s="9"/>
      <c r="I410" s="6"/>
      <c r="J410" s="6"/>
      <c r="K410" s="6"/>
      <c r="L410" s="7"/>
      <c r="M410" s="7"/>
      <c r="N410" s="6"/>
      <c r="O410" s="6"/>
    </row>
    <row r="411" customFormat="false" ht="15" hidden="false" customHeight="false" outlineLevel="0" collapsed="false">
      <c r="A411" s="6"/>
      <c r="B411" s="10"/>
      <c r="C411" s="16" t="str">
        <f aca="false">IF(B411="","",DATE(YEAR(B411),MONTH(B411),1))</f>
        <v/>
      </c>
      <c r="D411" s="6"/>
      <c r="E411" s="14" t="str">
        <f aca="false">IF(D411="","",IFERROR(INDEX(Pacientes!$Q:$Q,MATCH(D411,Pacientes!$A:$A,0))&amp;"","ID no existe"))</f>
        <v/>
      </c>
      <c r="F411" s="14" t="str">
        <f aca="false">IF(D411="","",IFERROR(INDEX(Pacientes!$D:$D,MATCH(D411,Pacientes!$A:$A,0))&amp;"","ID no existe"))</f>
        <v/>
      </c>
      <c r="G411" s="14" t="str">
        <f aca="false">IF(D411="","",IFERROR(INDEX(Pacientes!$E:$E,MATCH(D411,Pacientes!$A:$A,0))&amp;"","ID no existe"))</f>
        <v/>
      </c>
      <c r="H411" s="9"/>
      <c r="I411" s="6"/>
      <c r="J411" s="6"/>
      <c r="K411" s="6"/>
      <c r="L411" s="7"/>
      <c r="M411" s="7"/>
      <c r="N411" s="6"/>
      <c r="O411" s="6"/>
    </row>
    <row r="412" customFormat="false" ht="15" hidden="false" customHeight="false" outlineLevel="0" collapsed="false">
      <c r="A412" s="6"/>
      <c r="B412" s="10"/>
      <c r="C412" s="16" t="str">
        <f aca="false">IF(B412="","",DATE(YEAR(B412),MONTH(B412),1))</f>
        <v/>
      </c>
      <c r="D412" s="6"/>
      <c r="E412" s="14" t="str">
        <f aca="false">IF(D412="","",IFERROR(INDEX(Pacientes!$Q:$Q,MATCH(D412,Pacientes!$A:$A,0))&amp;"","ID no existe"))</f>
        <v/>
      </c>
      <c r="F412" s="14" t="str">
        <f aca="false">IF(D412="","",IFERROR(INDEX(Pacientes!$D:$D,MATCH(D412,Pacientes!$A:$A,0))&amp;"","ID no existe"))</f>
        <v/>
      </c>
      <c r="G412" s="14" t="str">
        <f aca="false">IF(D412="","",IFERROR(INDEX(Pacientes!$E:$E,MATCH(D412,Pacientes!$A:$A,0))&amp;"","ID no existe"))</f>
        <v/>
      </c>
      <c r="H412" s="9"/>
      <c r="I412" s="6"/>
      <c r="J412" s="6"/>
      <c r="K412" s="6"/>
      <c r="L412" s="7"/>
      <c r="M412" s="7"/>
      <c r="N412" s="6"/>
      <c r="O412" s="6"/>
    </row>
    <row r="413" customFormat="false" ht="15" hidden="false" customHeight="false" outlineLevel="0" collapsed="false">
      <c r="A413" s="6"/>
      <c r="B413" s="10"/>
      <c r="C413" s="16" t="str">
        <f aca="false">IF(B413="","",DATE(YEAR(B413),MONTH(B413),1))</f>
        <v/>
      </c>
      <c r="D413" s="6"/>
      <c r="E413" s="14" t="str">
        <f aca="false">IF(D413="","",IFERROR(INDEX(Pacientes!$Q:$Q,MATCH(D413,Pacientes!$A:$A,0))&amp;"","ID no existe"))</f>
        <v/>
      </c>
      <c r="F413" s="14" t="str">
        <f aca="false">IF(D413="","",IFERROR(INDEX(Pacientes!$D:$D,MATCH(D413,Pacientes!$A:$A,0))&amp;"","ID no existe"))</f>
        <v/>
      </c>
      <c r="G413" s="14" t="str">
        <f aca="false">IF(D413="","",IFERROR(INDEX(Pacientes!$E:$E,MATCH(D413,Pacientes!$A:$A,0))&amp;"","ID no existe"))</f>
        <v/>
      </c>
      <c r="H413" s="9"/>
      <c r="I413" s="6"/>
      <c r="J413" s="6"/>
      <c r="K413" s="6"/>
      <c r="L413" s="7"/>
      <c r="M413" s="7"/>
      <c r="N413" s="6"/>
      <c r="O413" s="6"/>
    </row>
    <row r="414" customFormat="false" ht="15" hidden="false" customHeight="false" outlineLevel="0" collapsed="false">
      <c r="A414" s="6"/>
      <c r="B414" s="10"/>
      <c r="C414" s="16" t="str">
        <f aca="false">IF(B414="","",DATE(YEAR(B414),MONTH(B414),1))</f>
        <v/>
      </c>
      <c r="D414" s="6"/>
      <c r="E414" s="14" t="str">
        <f aca="false">IF(D414="","",IFERROR(INDEX(Pacientes!$Q:$Q,MATCH(D414,Pacientes!$A:$A,0))&amp;"","ID no existe"))</f>
        <v/>
      </c>
      <c r="F414" s="14" t="str">
        <f aca="false">IF(D414="","",IFERROR(INDEX(Pacientes!$D:$D,MATCH(D414,Pacientes!$A:$A,0))&amp;"","ID no existe"))</f>
        <v/>
      </c>
      <c r="G414" s="14" t="str">
        <f aca="false">IF(D414="","",IFERROR(INDEX(Pacientes!$E:$E,MATCH(D414,Pacientes!$A:$A,0))&amp;"","ID no existe"))</f>
        <v/>
      </c>
      <c r="H414" s="9"/>
      <c r="I414" s="6"/>
      <c r="J414" s="6"/>
      <c r="K414" s="6"/>
      <c r="L414" s="7"/>
      <c r="M414" s="7"/>
      <c r="N414" s="6"/>
      <c r="O414" s="6"/>
    </row>
    <row r="415" customFormat="false" ht="15" hidden="false" customHeight="false" outlineLevel="0" collapsed="false">
      <c r="A415" s="6"/>
      <c r="B415" s="10"/>
      <c r="C415" s="16" t="str">
        <f aca="false">IF(B415="","",DATE(YEAR(B415),MONTH(B415),1))</f>
        <v/>
      </c>
      <c r="D415" s="6"/>
      <c r="E415" s="14" t="str">
        <f aca="false">IF(D415="","",IFERROR(INDEX(Pacientes!$Q:$Q,MATCH(D415,Pacientes!$A:$A,0))&amp;"","ID no existe"))</f>
        <v/>
      </c>
      <c r="F415" s="14" t="str">
        <f aca="false">IF(D415="","",IFERROR(INDEX(Pacientes!$D:$D,MATCH(D415,Pacientes!$A:$A,0))&amp;"","ID no existe"))</f>
        <v/>
      </c>
      <c r="G415" s="14" t="str">
        <f aca="false">IF(D415="","",IFERROR(INDEX(Pacientes!$E:$E,MATCH(D415,Pacientes!$A:$A,0))&amp;"","ID no existe"))</f>
        <v/>
      </c>
      <c r="H415" s="9"/>
      <c r="I415" s="6"/>
      <c r="J415" s="6"/>
      <c r="K415" s="6"/>
      <c r="L415" s="7"/>
      <c r="M415" s="7"/>
      <c r="N415" s="6"/>
      <c r="O415" s="6"/>
    </row>
    <row r="416" customFormat="false" ht="15" hidden="false" customHeight="false" outlineLevel="0" collapsed="false">
      <c r="A416" s="6"/>
      <c r="B416" s="10"/>
      <c r="C416" s="16" t="str">
        <f aca="false">IF(B416="","",DATE(YEAR(B416),MONTH(B416),1))</f>
        <v/>
      </c>
      <c r="D416" s="6"/>
      <c r="E416" s="14" t="str">
        <f aca="false">IF(D416="","",IFERROR(INDEX(Pacientes!$Q:$Q,MATCH(D416,Pacientes!$A:$A,0))&amp;"","ID no existe"))</f>
        <v/>
      </c>
      <c r="F416" s="14" t="str">
        <f aca="false">IF(D416="","",IFERROR(INDEX(Pacientes!$D:$D,MATCH(D416,Pacientes!$A:$A,0))&amp;"","ID no existe"))</f>
        <v/>
      </c>
      <c r="G416" s="14" t="str">
        <f aca="false">IF(D416="","",IFERROR(INDEX(Pacientes!$E:$E,MATCH(D416,Pacientes!$A:$A,0))&amp;"","ID no existe"))</f>
        <v/>
      </c>
      <c r="H416" s="9"/>
      <c r="I416" s="6"/>
      <c r="J416" s="6"/>
      <c r="K416" s="6"/>
      <c r="L416" s="7"/>
      <c r="M416" s="7"/>
      <c r="N416" s="6"/>
      <c r="O416" s="6"/>
    </row>
    <row r="417" customFormat="false" ht="15" hidden="false" customHeight="false" outlineLevel="0" collapsed="false">
      <c r="A417" s="6"/>
      <c r="B417" s="10"/>
      <c r="C417" s="16" t="str">
        <f aca="false">IF(B417="","",DATE(YEAR(B417),MONTH(B417),1))</f>
        <v/>
      </c>
      <c r="D417" s="6"/>
      <c r="E417" s="14" t="str">
        <f aca="false">IF(D417="","",IFERROR(INDEX(Pacientes!$Q:$Q,MATCH(D417,Pacientes!$A:$A,0))&amp;"","ID no existe"))</f>
        <v/>
      </c>
      <c r="F417" s="14" t="str">
        <f aca="false">IF(D417="","",IFERROR(INDEX(Pacientes!$D:$D,MATCH(D417,Pacientes!$A:$A,0))&amp;"","ID no existe"))</f>
        <v/>
      </c>
      <c r="G417" s="14" t="str">
        <f aca="false">IF(D417="","",IFERROR(INDEX(Pacientes!$E:$E,MATCH(D417,Pacientes!$A:$A,0))&amp;"","ID no existe"))</f>
        <v/>
      </c>
      <c r="H417" s="9"/>
      <c r="I417" s="6"/>
      <c r="J417" s="6"/>
      <c r="K417" s="6"/>
      <c r="L417" s="7"/>
      <c r="M417" s="7"/>
      <c r="N417" s="6"/>
      <c r="O417" s="6"/>
    </row>
    <row r="418" customFormat="false" ht="15" hidden="false" customHeight="false" outlineLevel="0" collapsed="false">
      <c r="A418" s="6"/>
      <c r="B418" s="10"/>
      <c r="C418" s="16" t="str">
        <f aca="false">IF(B418="","",DATE(YEAR(B418),MONTH(B418),1))</f>
        <v/>
      </c>
      <c r="D418" s="6"/>
      <c r="E418" s="14" t="str">
        <f aca="false">IF(D418="","",IFERROR(INDEX(Pacientes!$Q:$Q,MATCH(D418,Pacientes!$A:$A,0))&amp;"","ID no existe"))</f>
        <v/>
      </c>
      <c r="F418" s="14" t="str">
        <f aca="false">IF(D418="","",IFERROR(INDEX(Pacientes!$D:$D,MATCH(D418,Pacientes!$A:$A,0))&amp;"","ID no existe"))</f>
        <v/>
      </c>
      <c r="G418" s="14" t="str">
        <f aca="false">IF(D418="","",IFERROR(INDEX(Pacientes!$E:$E,MATCH(D418,Pacientes!$A:$A,0))&amp;"","ID no existe"))</f>
        <v/>
      </c>
      <c r="H418" s="9"/>
      <c r="I418" s="6"/>
      <c r="J418" s="6"/>
      <c r="K418" s="6"/>
      <c r="L418" s="7"/>
      <c r="M418" s="7"/>
      <c r="N418" s="6"/>
      <c r="O418" s="6"/>
    </row>
    <row r="419" customFormat="false" ht="15" hidden="false" customHeight="false" outlineLevel="0" collapsed="false">
      <c r="A419" s="6"/>
      <c r="B419" s="10"/>
      <c r="C419" s="16" t="str">
        <f aca="false">IF(B419="","",DATE(YEAR(B419),MONTH(B419),1))</f>
        <v/>
      </c>
      <c r="D419" s="6"/>
      <c r="E419" s="14" t="str">
        <f aca="false">IF(D419="","",IFERROR(INDEX(Pacientes!$Q:$Q,MATCH(D419,Pacientes!$A:$A,0))&amp;"","ID no existe"))</f>
        <v/>
      </c>
      <c r="F419" s="14" t="str">
        <f aca="false">IF(D419="","",IFERROR(INDEX(Pacientes!$D:$D,MATCH(D419,Pacientes!$A:$A,0))&amp;"","ID no existe"))</f>
        <v/>
      </c>
      <c r="G419" s="14" t="str">
        <f aca="false">IF(D419="","",IFERROR(INDEX(Pacientes!$E:$E,MATCH(D419,Pacientes!$A:$A,0))&amp;"","ID no existe"))</f>
        <v/>
      </c>
      <c r="H419" s="9"/>
      <c r="I419" s="6"/>
      <c r="J419" s="6"/>
      <c r="K419" s="6"/>
      <c r="L419" s="7"/>
      <c r="M419" s="7"/>
      <c r="N419" s="6"/>
      <c r="O419" s="6"/>
    </row>
    <row r="420" customFormat="false" ht="15" hidden="false" customHeight="false" outlineLevel="0" collapsed="false">
      <c r="A420" s="6"/>
      <c r="B420" s="10"/>
      <c r="C420" s="16" t="str">
        <f aca="false">IF(B420="","",DATE(YEAR(B420),MONTH(B420),1))</f>
        <v/>
      </c>
      <c r="D420" s="6"/>
      <c r="E420" s="14" t="str">
        <f aca="false">IF(D420="","",IFERROR(INDEX(Pacientes!$Q:$Q,MATCH(D420,Pacientes!$A:$A,0))&amp;"","ID no existe"))</f>
        <v/>
      </c>
      <c r="F420" s="14" t="str">
        <f aca="false">IF(D420="","",IFERROR(INDEX(Pacientes!$D:$D,MATCH(D420,Pacientes!$A:$A,0))&amp;"","ID no existe"))</f>
        <v/>
      </c>
      <c r="G420" s="14" t="str">
        <f aca="false">IF(D420="","",IFERROR(INDEX(Pacientes!$E:$E,MATCH(D420,Pacientes!$A:$A,0))&amp;"","ID no existe"))</f>
        <v/>
      </c>
      <c r="H420" s="9"/>
      <c r="I420" s="6"/>
      <c r="J420" s="6"/>
      <c r="K420" s="6"/>
      <c r="L420" s="7"/>
      <c r="M420" s="7"/>
      <c r="N420" s="6"/>
      <c r="O420" s="6"/>
    </row>
    <row r="421" customFormat="false" ht="15" hidden="false" customHeight="false" outlineLevel="0" collapsed="false">
      <c r="A421" s="6"/>
      <c r="B421" s="10"/>
      <c r="C421" s="16" t="str">
        <f aca="false">IF(B421="","",DATE(YEAR(B421),MONTH(B421),1))</f>
        <v/>
      </c>
      <c r="D421" s="6"/>
      <c r="E421" s="14" t="str">
        <f aca="false">IF(D421="","",IFERROR(INDEX(Pacientes!$Q:$Q,MATCH(D421,Pacientes!$A:$A,0))&amp;"","ID no existe"))</f>
        <v/>
      </c>
      <c r="F421" s="14" t="str">
        <f aca="false">IF(D421="","",IFERROR(INDEX(Pacientes!$D:$D,MATCH(D421,Pacientes!$A:$A,0))&amp;"","ID no existe"))</f>
        <v/>
      </c>
      <c r="G421" s="14" t="str">
        <f aca="false">IF(D421="","",IFERROR(INDEX(Pacientes!$E:$E,MATCH(D421,Pacientes!$A:$A,0))&amp;"","ID no existe"))</f>
        <v/>
      </c>
      <c r="H421" s="9"/>
      <c r="I421" s="6"/>
      <c r="J421" s="6"/>
      <c r="K421" s="6"/>
      <c r="L421" s="7"/>
      <c r="M421" s="7"/>
      <c r="N421" s="6"/>
      <c r="O421" s="6"/>
    </row>
    <row r="422" customFormat="false" ht="15" hidden="false" customHeight="false" outlineLevel="0" collapsed="false">
      <c r="A422" s="6"/>
      <c r="B422" s="10"/>
      <c r="C422" s="16" t="str">
        <f aca="false">IF(B422="","",DATE(YEAR(B422),MONTH(B422),1))</f>
        <v/>
      </c>
      <c r="D422" s="6"/>
      <c r="E422" s="14" t="str">
        <f aca="false">IF(D422="","",IFERROR(INDEX(Pacientes!$Q:$Q,MATCH(D422,Pacientes!$A:$A,0))&amp;"","ID no existe"))</f>
        <v/>
      </c>
      <c r="F422" s="14" t="str">
        <f aca="false">IF(D422="","",IFERROR(INDEX(Pacientes!$D:$D,MATCH(D422,Pacientes!$A:$A,0))&amp;"","ID no existe"))</f>
        <v/>
      </c>
      <c r="G422" s="14" t="str">
        <f aca="false">IF(D422="","",IFERROR(INDEX(Pacientes!$E:$E,MATCH(D422,Pacientes!$A:$A,0))&amp;"","ID no existe"))</f>
        <v/>
      </c>
      <c r="H422" s="9"/>
      <c r="I422" s="6"/>
      <c r="J422" s="6"/>
      <c r="K422" s="6"/>
      <c r="L422" s="7"/>
      <c r="M422" s="7"/>
      <c r="N422" s="6"/>
      <c r="O422" s="6"/>
    </row>
    <row r="423" customFormat="false" ht="15" hidden="false" customHeight="false" outlineLevel="0" collapsed="false">
      <c r="A423" s="6"/>
      <c r="B423" s="10"/>
      <c r="C423" s="16" t="str">
        <f aca="false">IF(B423="","",DATE(YEAR(B423),MONTH(B423),1))</f>
        <v/>
      </c>
      <c r="D423" s="6"/>
      <c r="E423" s="14" t="str">
        <f aca="false">IF(D423="","",IFERROR(INDEX(Pacientes!$Q:$Q,MATCH(D423,Pacientes!$A:$A,0))&amp;"","ID no existe"))</f>
        <v/>
      </c>
      <c r="F423" s="14" t="str">
        <f aca="false">IF(D423="","",IFERROR(INDEX(Pacientes!$D:$D,MATCH(D423,Pacientes!$A:$A,0))&amp;"","ID no existe"))</f>
        <v/>
      </c>
      <c r="G423" s="14" t="str">
        <f aca="false">IF(D423="","",IFERROR(INDEX(Pacientes!$E:$E,MATCH(D423,Pacientes!$A:$A,0))&amp;"","ID no existe"))</f>
        <v/>
      </c>
      <c r="H423" s="9"/>
      <c r="I423" s="6"/>
      <c r="J423" s="6"/>
      <c r="K423" s="6"/>
      <c r="L423" s="7"/>
      <c r="M423" s="7"/>
      <c r="N423" s="6"/>
      <c r="O423" s="6"/>
    </row>
    <row r="424" customFormat="false" ht="15" hidden="false" customHeight="false" outlineLevel="0" collapsed="false">
      <c r="A424" s="6"/>
      <c r="B424" s="10"/>
      <c r="C424" s="16" t="str">
        <f aca="false">IF(B424="","",DATE(YEAR(B424),MONTH(B424),1))</f>
        <v/>
      </c>
      <c r="D424" s="6"/>
      <c r="E424" s="14" t="str">
        <f aca="false">IF(D424="","",IFERROR(INDEX(Pacientes!$Q:$Q,MATCH(D424,Pacientes!$A:$A,0))&amp;"","ID no existe"))</f>
        <v/>
      </c>
      <c r="F424" s="14" t="str">
        <f aca="false">IF(D424="","",IFERROR(INDEX(Pacientes!$D:$D,MATCH(D424,Pacientes!$A:$A,0))&amp;"","ID no existe"))</f>
        <v/>
      </c>
      <c r="G424" s="14" t="str">
        <f aca="false">IF(D424="","",IFERROR(INDEX(Pacientes!$E:$E,MATCH(D424,Pacientes!$A:$A,0))&amp;"","ID no existe"))</f>
        <v/>
      </c>
      <c r="H424" s="9"/>
      <c r="I424" s="6"/>
      <c r="J424" s="6"/>
      <c r="K424" s="6"/>
      <c r="L424" s="7"/>
      <c r="M424" s="7"/>
      <c r="N424" s="6"/>
      <c r="O424" s="6"/>
    </row>
    <row r="425" customFormat="false" ht="15" hidden="false" customHeight="false" outlineLevel="0" collapsed="false">
      <c r="A425" s="6"/>
      <c r="B425" s="10"/>
      <c r="C425" s="16" t="str">
        <f aca="false">IF(B425="","",DATE(YEAR(B425),MONTH(B425),1))</f>
        <v/>
      </c>
      <c r="D425" s="6"/>
      <c r="E425" s="14" t="str">
        <f aca="false">IF(D425="","",IFERROR(INDEX(Pacientes!$Q:$Q,MATCH(D425,Pacientes!$A:$A,0))&amp;"","ID no existe"))</f>
        <v/>
      </c>
      <c r="F425" s="14" t="str">
        <f aca="false">IF(D425="","",IFERROR(INDEX(Pacientes!$D:$D,MATCH(D425,Pacientes!$A:$A,0))&amp;"","ID no existe"))</f>
        <v/>
      </c>
      <c r="G425" s="14" t="str">
        <f aca="false">IF(D425="","",IFERROR(INDEX(Pacientes!$E:$E,MATCH(D425,Pacientes!$A:$A,0))&amp;"","ID no existe"))</f>
        <v/>
      </c>
      <c r="H425" s="9"/>
      <c r="I425" s="6"/>
      <c r="J425" s="6"/>
      <c r="K425" s="6"/>
      <c r="L425" s="7"/>
      <c r="M425" s="7"/>
      <c r="N425" s="6"/>
      <c r="O425" s="6"/>
    </row>
    <row r="426" customFormat="false" ht="15" hidden="false" customHeight="false" outlineLevel="0" collapsed="false">
      <c r="A426" s="6"/>
      <c r="B426" s="10"/>
      <c r="C426" s="16" t="str">
        <f aca="false">IF(B426="","",DATE(YEAR(B426),MONTH(B426),1))</f>
        <v/>
      </c>
      <c r="D426" s="6"/>
      <c r="E426" s="14" t="str">
        <f aca="false">IF(D426="","",IFERROR(INDEX(Pacientes!$Q:$Q,MATCH(D426,Pacientes!$A:$A,0))&amp;"","ID no existe"))</f>
        <v/>
      </c>
      <c r="F426" s="14" t="str">
        <f aca="false">IF(D426="","",IFERROR(INDEX(Pacientes!$D:$D,MATCH(D426,Pacientes!$A:$A,0))&amp;"","ID no existe"))</f>
        <v/>
      </c>
      <c r="G426" s="14" t="str">
        <f aca="false">IF(D426="","",IFERROR(INDEX(Pacientes!$E:$E,MATCH(D426,Pacientes!$A:$A,0))&amp;"","ID no existe"))</f>
        <v/>
      </c>
      <c r="H426" s="9"/>
      <c r="I426" s="6"/>
      <c r="J426" s="6"/>
      <c r="K426" s="6"/>
      <c r="L426" s="7"/>
      <c r="M426" s="7"/>
      <c r="N426" s="6"/>
      <c r="O426" s="6"/>
    </row>
    <row r="427" customFormat="false" ht="15" hidden="false" customHeight="false" outlineLevel="0" collapsed="false">
      <c r="A427" s="6"/>
      <c r="B427" s="10"/>
      <c r="C427" s="16" t="str">
        <f aca="false">IF(B427="","",DATE(YEAR(B427),MONTH(B427),1))</f>
        <v/>
      </c>
      <c r="D427" s="6"/>
      <c r="E427" s="14" t="str">
        <f aca="false">IF(D427="","",IFERROR(INDEX(Pacientes!$Q:$Q,MATCH(D427,Pacientes!$A:$A,0))&amp;"","ID no existe"))</f>
        <v/>
      </c>
      <c r="F427" s="14" t="str">
        <f aca="false">IF(D427="","",IFERROR(INDEX(Pacientes!$D:$D,MATCH(D427,Pacientes!$A:$A,0))&amp;"","ID no existe"))</f>
        <v/>
      </c>
      <c r="G427" s="14" t="str">
        <f aca="false">IF(D427="","",IFERROR(INDEX(Pacientes!$E:$E,MATCH(D427,Pacientes!$A:$A,0))&amp;"","ID no existe"))</f>
        <v/>
      </c>
      <c r="H427" s="9"/>
      <c r="I427" s="6"/>
      <c r="J427" s="6"/>
      <c r="K427" s="6"/>
      <c r="L427" s="7"/>
      <c r="M427" s="7"/>
      <c r="N427" s="6"/>
      <c r="O427" s="6"/>
    </row>
    <row r="428" customFormat="false" ht="15" hidden="false" customHeight="false" outlineLevel="0" collapsed="false">
      <c r="A428" s="6"/>
      <c r="B428" s="10"/>
      <c r="C428" s="16" t="str">
        <f aca="false">IF(B428="","",DATE(YEAR(B428),MONTH(B428),1))</f>
        <v/>
      </c>
      <c r="D428" s="6"/>
      <c r="E428" s="14" t="str">
        <f aca="false">IF(D428="","",IFERROR(INDEX(Pacientes!$Q:$Q,MATCH(D428,Pacientes!$A:$A,0))&amp;"","ID no existe"))</f>
        <v/>
      </c>
      <c r="F428" s="14" t="str">
        <f aca="false">IF(D428="","",IFERROR(INDEX(Pacientes!$D:$D,MATCH(D428,Pacientes!$A:$A,0))&amp;"","ID no existe"))</f>
        <v/>
      </c>
      <c r="G428" s="14" t="str">
        <f aca="false">IF(D428="","",IFERROR(INDEX(Pacientes!$E:$E,MATCH(D428,Pacientes!$A:$A,0))&amp;"","ID no existe"))</f>
        <v/>
      </c>
      <c r="H428" s="9"/>
      <c r="I428" s="6"/>
      <c r="J428" s="6"/>
      <c r="K428" s="6"/>
      <c r="L428" s="7"/>
      <c r="M428" s="7"/>
      <c r="N428" s="6"/>
      <c r="O428" s="6"/>
    </row>
    <row r="429" customFormat="false" ht="15" hidden="false" customHeight="false" outlineLevel="0" collapsed="false">
      <c r="A429" s="6"/>
      <c r="B429" s="10"/>
      <c r="C429" s="16" t="str">
        <f aca="false">IF(B429="","",DATE(YEAR(B429),MONTH(B429),1))</f>
        <v/>
      </c>
      <c r="D429" s="6"/>
      <c r="E429" s="14" t="str">
        <f aca="false">IF(D429="","",IFERROR(INDEX(Pacientes!$Q:$Q,MATCH(D429,Pacientes!$A:$A,0))&amp;"","ID no existe"))</f>
        <v/>
      </c>
      <c r="F429" s="14" t="str">
        <f aca="false">IF(D429="","",IFERROR(INDEX(Pacientes!$D:$D,MATCH(D429,Pacientes!$A:$A,0))&amp;"","ID no existe"))</f>
        <v/>
      </c>
      <c r="G429" s="14" t="str">
        <f aca="false">IF(D429="","",IFERROR(INDEX(Pacientes!$E:$E,MATCH(D429,Pacientes!$A:$A,0))&amp;"","ID no existe"))</f>
        <v/>
      </c>
      <c r="H429" s="9"/>
      <c r="I429" s="6"/>
      <c r="J429" s="6"/>
      <c r="K429" s="6"/>
      <c r="L429" s="7"/>
      <c r="M429" s="7"/>
      <c r="N429" s="6"/>
      <c r="O429" s="6"/>
    </row>
    <row r="430" customFormat="false" ht="15" hidden="false" customHeight="false" outlineLevel="0" collapsed="false">
      <c r="A430" s="6"/>
      <c r="B430" s="10"/>
      <c r="C430" s="16" t="str">
        <f aca="false">IF(B430="","",DATE(YEAR(B430),MONTH(B430),1))</f>
        <v/>
      </c>
      <c r="D430" s="6"/>
      <c r="E430" s="14" t="str">
        <f aca="false">IF(D430="","",IFERROR(INDEX(Pacientes!$Q:$Q,MATCH(D430,Pacientes!$A:$A,0))&amp;"","ID no existe"))</f>
        <v/>
      </c>
      <c r="F430" s="14" t="str">
        <f aca="false">IF(D430="","",IFERROR(INDEX(Pacientes!$D:$D,MATCH(D430,Pacientes!$A:$A,0))&amp;"","ID no existe"))</f>
        <v/>
      </c>
      <c r="G430" s="14" t="str">
        <f aca="false">IF(D430="","",IFERROR(INDEX(Pacientes!$E:$E,MATCH(D430,Pacientes!$A:$A,0))&amp;"","ID no existe"))</f>
        <v/>
      </c>
      <c r="H430" s="9"/>
      <c r="I430" s="6"/>
      <c r="J430" s="6"/>
      <c r="K430" s="6"/>
      <c r="L430" s="7"/>
      <c r="M430" s="7"/>
      <c r="N430" s="6"/>
      <c r="O430" s="6"/>
    </row>
    <row r="431" customFormat="false" ht="15" hidden="false" customHeight="false" outlineLevel="0" collapsed="false">
      <c r="A431" s="6"/>
      <c r="B431" s="10"/>
      <c r="C431" s="16" t="str">
        <f aca="false">IF(B431="","",DATE(YEAR(B431),MONTH(B431),1))</f>
        <v/>
      </c>
      <c r="D431" s="6"/>
      <c r="E431" s="14" t="str">
        <f aca="false">IF(D431="","",IFERROR(INDEX(Pacientes!$Q:$Q,MATCH(D431,Pacientes!$A:$A,0))&amp;"","ID no existe"))</f>
        <v/>
      </c>
      <c r="F431" s="14" t="str">
        <f aca="false">IF(D431="","",IFERROR(INDEX(Pacientes!$D:$D,MATCH(D431,Pacientes!$A:$A,0))&amp;"","ID no existe"))</f>
        <v/>
      </c>
      <c r="G431" s="14" t="str">
        <f aca="false">IF(D431="","",IFERROR(INDEX(Pacientes!$E:$E,MATCH(D431,Pacientes!$A:$A,0))&amp;"","ID no existe"))</f>
        <v/>
      </c>
      <c r="H431" s="9"/>
      <c r="I431" s="6"/>
      <c r="J431" s="6"/>
      <c r="K431" s="6"/>
      <c r="L431" s="7"/>
      <c r="M431" s="7"/>
      <c r="N431" s="6"/>
      <c r="O431" s="6"/>
    </row>
    <row r="432" customFormat="false" ht="15" hidden="false" customHeight="false" outlineLevel="0" collapsed="false">
      <c r="A432" s="6"/>
      <c r="B432" s="10"/>
      <c r="C432" s="16" t="str">
        <f aca="false">IF(B432="","",DATE(YEAR(B432),MONTH(B432),1))</f>
        <v/>
      </c>
      <c r="D432" s="6"/>
      <c r="E432" s="14" t="str">
        <f aca="false">IF(D432="","",IFERROR(INDEX(Pacientes!$Q:$Q,MATCH(D432,Pacientes!$A:$A,0))&amp;"","ID no existe"))</f>
        <v/>
      </c>
      <c r="F432" s="14" t="str">
        <f aca="false">IF(D432="","",IFERROR(INDEX(Pacientes!$D:$D,MATCH(D432,Pacientes!$A:$A,0))&amp;"","ID no existe"))</f>
        <v/>
      </c>
      <c r="G432" s="14" t="str">
        <f aca="false">IF(D432="","",IFERROR(INDEX(Pacientes!$E:$E,MATCH(D432,Pacientes!$A:$A,0))&amp;"","ID no existe"))</f>
        <v/>
      </c>
      <c r="H432" s="9"/>
      <c r="I432" s="6"/>
      <c r="J432" s="6"/>
      <c r="K432" s="6"/>
      <c r="L432" s="7"/>
      <c r="M432" s="7"/>
      <c r="N432" s="6"/>
      <c r="O432" s="6"/>
    </row>
    <row r="433" customFormat="false" ht="15" hidden="false" customHeight="false" outlineLevel="0" collapsed="false">
      <c r="A433" s="6"/>
      <c r="B433" s="10"/>
      <c r="C433" s="16" t="str">
        <f aca="false">IF(B433="","",DATE(YEAR(B433),MONTH(B433),1))</f>
        <v/>
      </c>
      <c r="D433" s="6"/>
      <c r="E433" s="14" t="str">
        <f aca="false">IF(D433="","",IFERROR(INDEX(Pacientes!$Q:$Q,MATCH(D433,Pacientes!$A:$A,0))&amp;"","ID no existe"))</f>
        <v/>
      </c>
      <c r="F433" s="14" t="str">
        <f aca="false">IF(D433="","",IFERROR(INDEX(Pacientes!$D:$D,MATCH(D433,Pacientes!$A:$A,0))&amp;"","ID no existe"))</f>
        <v/>
      </c>
      <c r="G433" s="14" t="str">
        <f aca="false">IF(D433="","",IFERROR(INDEX(Pacientes!$E:$E,MATCH(D433,Pacientes!$A:$A,0))&amp;"","ID no existe"))</f>
        <v/>
      </c>
      <c r="H433" s="9"/>
      <c r="I433" s="6"/>
      <c r="J433" s="6"/>
      <c r="K433" s="6"/>
      <c r="L433" s="7"/>
      <c r="M433" s="7"/>
      <c r="N433" s="6"/>
      <c r="O433" s="6"/>
    </row>
    <row r="434" customFormat="false" ht="15" hidden="false" customHeight="false" outlineLevel="0" collapsed="false">
      <c r="A434" s="6"/>
      <c r="B434" s="10"/>
      <c r="C434" s="16" t="str">
        <f aca="false">IF(B434="","",DATE(YEAR(B434),MONTH(B434),1))</f>
        <v/>
      </c>
      <c r="D434" s="6"/>
      <c r="E434" s="14" t="str">
        <f aca="false">IF(D434="","",IFERROR(INDEX(Pacientes!$Q:$Q,MATCH(D434,Pacientes!$A:$A,0))&amp;"","ID no existe"))</f>
        <v/>
      </c>
      <c r="F434" s="14" t="str">
        <f aca="false">IF(D434="","",IFERROR(INDEX(Pacientes!$D:$D,MATCH(D434,Pacientes!$A:$A,0))&amp;"","ID no existe"))</f>
        <v/>
      </c>
      <c r="G434" s="14" t="str">
        <f aca="false">IF(D434="","",IFERROR(INDEX(Pacientes!$E:$E,MATCH(D434,Pacientes!$A:$A,0))&amp;"","ID no existe"))</f>
        <v/>
      </c>
      <c r="H434" s="9"/>
      <c r="I434" s="6"/>
      <c r="J434" s="6"/>
      <c r="K434" s="6"/>
      <c r="L434" s="7"/>
      <c r="M434" s="7"/>
      <c r="N434" s="6"/>
      <c r="O434" s="6"/>
    </row>
    <row r="435" customFormat="false" ht="15" hidden="false" customHeight="false" outlineLevel="0" collapsed="false">
      <c r="A435" s="6"/>
      <c r="B435" s="10"/>
      <c r="C435" s="16" t="str">
        <f aca="false">IF(B435="","",DATE(YEAR(B435),MONTH(B435),1))</f>
        <v/>
      </c>
      <c r="D435" s="6"/>
      <c r="E435" s="14" t="str">
        <f aca="false">IF(D435="","",IFERROR(INDEX(Pacientes!$Q:$Q,MATCH(D435,Pacientes!$A:$A,0))&amp;"","ID no existe"))</f>
        <v/>
      </c>
      <c r="F435" s="14" t="str">
        <f aca="false">IF(D435="","",IFERROR(INDEX(Pacientes!$D:$D,MATCH(D435,Pacientes!$A:$A,0))&amp;"","ID no existe"))</f>
        <v/>
      </c>
      <c r="G435" s="14" t="str">
        <f aca="false">IF(D435="","",IFERROR(INDEX(Pacientes!$E:$E,MATCH(D435,Pacientes!$A:$A,0))&amp;"","ID no existe"))</f>
        <v/>
      </c>
      <c r="H435" s="9"/>
      <c r="I435" s="6"/>
      <c r="J435" s="6"/>
      <c r="K435" s="6"/>
      <c r="L435" s="7"/>
      <c r="M435" s="7"/>
      <c r="N435" s="6"/>
      <c r="O435" s="6"/>
    </row>
    <row r="436" customFormat="false" ht="15" hidden="false" customHeight="false" outlineLevel="0" collapsed="false">
      <c r="A436" s="6"/>
      <c r="B436" s="10"/>
      <c r="C436" s="16" t="str">
        <f aca="false">IF(B436="","",DATE(YEAR(B436),MONTH(B436),1))</f>
        <v/>
      </c>
      <c r="D436" s="6"/>
      <c r="E436" s="14" t="str">
        <f aca="false">IF(D436="","",IFERROR(INDEX(Pacientes!$Q:$Q,MATCH(D436,Pacientes!$A:$A,0))&amp;"","ID no existe"))</f>
        <v/>
      </c>
      <c r="F436" s="14" t="str">
        <f aca="false">IF(D436="","",IFERROR(INDEX(Pacientes!$D:$D,MATCH(D436,Pacientes!$A:$A,0))&amp;"","ID no existe"))</f>
        <v/>
      </c>
      <c r="G436" s="14" t="str">
        <f aca="false">IF(D436="","",IFERROR(INDEX(Pacientes!$E:$E,MATCH(D436,Pacientes!$A:$A,0))&amp;"","ID no existe"))</f>
        <v/>
      </c>
      <c r="H436" s="9"/>
      <c r="I436" s="6"/>
      <c r="J436" s="6"/>
      <c r="K436" s="6"/>
      <c r="L436" s="7"/>
      <c r="M436" s="7"/>
      <c r="N436" s="6"/>
      <c r="O436" s="6"/>
    </row>
    <row r="437" customFormat="false" ht="15" hidden="false" customHeight="false" outlineLevel="0" collapsed="false">
      <c r="A437" s="6"/>
      <c r="B437" s="10"/>
      <c r="C437" s="16" t="str">
        <f aca="false">IF(B437="","",DATE(YEAR(B437),MONTH(B437),1))</f>
        <v/>
      </c>
      <c r="D437" s="6"/>
      <c r="E437" s="14" t="str">
        <f aca="false">IF(D437="","",IFERROR(INDEX(Pacientes!$Q:$Q,MATCH(D437,Pacientes!$A:$A,0))&amp;"","ID no existe"))</f>
        <v/>
      </c>
      <c r="F437" s="14" t="str">
        <f aca="false">IF(D437="","",IFERROR(INDEX(Pacientes!$D:$D,MATCH(D437,Pacientes!$A:$A,0))&amp;"","ID no existe"))</f>
        <v/>
      </c>
      <c r="G437" s="14" t="str">
        <f aca="false">IF(D437="","",IFERROR(INDEX(Pacientes!$E:$E,MATCH(D437,Pacientes!$A:$A,0))&amp;"","ID no existe"))</f>
        <v/>
      </c>
      <c r="H437" s="9"/>
      <c r="I437" s="6"/>
      <c r="J437" s="6"/>
      <c r="K437" s="6"/>
      <c r="L437" s="7"/>
      <c r="M437" s="7"/>
      <c r="N437" s="6"/>
      <c r="O437" s="6"/>
    </row>
    <row r="438" customFormat="false" ht="15" hidden="false" customHeight="false" outlineLevel="0" collapsed="false">
      <c r="A438" s="6"/>
      <c r="B438" s="10"/>
      <c r="C438" s="16" t="str">
        <f aca="false">IF(B438="","",DATE(YEAR(B438),MONTH(B438),1))</f>
        <v/>
      </c>
      <c r="D438" s="6"/>
      <c r="E438" s="14" t="str">
        <f aca="false">IF(D438="","",IFERROR(INDEX(Pacientes!$Q:$Q,MATCH(D438,Pacientes!$A:$A,0))&amp;"","ID no existe"))</f>
        <v/>
      </c>
      <c r="F438" s="14" t="str">
        <f aca="false">IF(D438="","",IFERROR(INDEX(Pacientes!$D:$D,MATCH(D438,Pacientes!$A:$A,0))&amp;"","ID no existe"))</f>
        <v/>
      </c>
      <c r="G438" s="14" t="str">
        <f aca="false">IF(D438="","",IFERROR(INDEX(Pacientes!$E:$E,MATCH(D438,Pacientes!$A:$A,0))&amp;"","ID no existe"))</f>
        <v/>
      </c>
      <c r="H438" s="9"/>
      <c r="I438" s="6"/>
      <c r="J438" s="6"/>
      <c r="K438" s="6"/>
      <c r="L438" s="7"/>
      <c r="M438" s="7"/>
      <c r="N438" s="6"/>
      <c r="O438" s="6"/>
    </row>
    <row r="439" customFormat="false" ht="15" hidden="false" customHeight="false" outlineLevel="0" collapsed="false">
      <c r="A439" s="6"/>
      <c r="B439" s="10"/>
      <c r="C439" s="16" t="str">
        <f aca="false">IF(B439="","",DATE(YEAR(B439),MONTH(B439),1))</f>
        <v/>
      </c>
      <c r="D439" s="6"/>
      <c r="E439" s="14" t="str">
        <f aca="false">IF(D439="","",IFERROR(INDEX(Pacientes!$Q:$Q,MATCH(D439,Pacientes!$A:$A,0))&amp;"","ID no existe"))</f>
        <v/>
      </c>
      <c r="F439" s="14" t="str">
        <f aca="false">IF(D439="","",IFERROR(INDEX(Pacientes!$D:$D,MATCH(D439,Pacientes!$A:$A,0))&amp;"","ID no existe"))</f>
        <v/>
      </c>
      <c r="G439" s="14" t="str">
        <f aca="false">IF(D439="","",IFERROR(INDEX(Pacientes!$E:$E,MATCH(D439,Pacientes!$A:$A,0))&amp;"","ID no existe"))</f>
        <v/>
      </c>
      <c r="H439" s="9"/>
      <c r="I439" s="6"/>
      <c r="J439" s="6"/>
      <c r="K439" s="6"/>
      <c r="L439" s="7"/>
      <c r="M439" s="7"/>
      <c r="N439" s="6"/>
      <c r="O439" s="6"/>
    </row>
    <row r="440" customFormat="false" ht="15" hidden="false" customHeight="false" outlineLevel="0" collapsed="false">
      <c r="A440" s="6"/>
      <c r="B440" s="10"/>
      <c r="C440" s="16" t="str">
        <f aca="false">IF(B440="","",DATE(YEAR(B440),MONTH(B440),1))</f>
        <v/>
      </c>
      <c r="D440" s="6"/>
      <c r="E440" s="14" t="str">
        <f aca="false">IF(D440="","",IFERROR(INDEX(Pacientes!$Q:$Q,MATCH(D440,Pacientes!$A:$A,0))&amp;"","ID no existe"))</f>
        <v/>
      </c>
      <c r="F440" s="14" t="str">
        <f aca="false">IF(D440="","",IFERROR(INDEX(Pacientes!$D:$D,MATCH(D440,Pacientes!$A:$A,0))&amp;"","ID no existe"))</f>
        <v/>
      </c>
      <c r="G440" s="14" t="str">
        <f aca="false">IF(D440="","",IFERROR(INDEX(Pacientes!$E:$E,MATCH(D440,Pacientes!$A:$A,0))&amp;"","ID no existe"))</f>
        <v/>
      </c>
      <c r="H440" s="9"/>
      <c r="I440" s="6"/>
      <c r="J440" s="6"/>
      <c r="K440" s="6"/>
      <c r="L440" s="7"/>
      <c r="M440" s="7"/>
      <c r="N440" s="6"/>
      <c r="O440" s="6"/>
    </row>
    <row r="441" customFormat="false" ht="15" hidden="false" customHeight="false" outlineLevel="0" collapsed="false">
      <c r="A441" s="6"/>
      <c r="B441" s="10"/>
      <c r="C441" s="16" t="str">
        <f aca="false">IF(B441="","",DATE(YEAR(B441),MONTH(B441),1))</f>
        <v/>
      </c>
      <c r="D441" s="6"/>
      <c r="E441" s="14" t="str">
        <f aca="false">IF(D441="","",IFERROR(INDEX(Pacientes!$Q:$Q,MATCH(D441,Pacientes!$A:$A,0))&amp;"","ID no existe"))</f>
        <v/>
      </c>
      <c r="F441" s="14" t="str">
        <f aca="false">IF(D441="","",IFERROR(INDEX(Pacientes!$D:$D,MATCH(D441,Pacientes!$A:$A,0))&amp;"","ID no existe"))</f>
        <v/>
      </c>
      <c r="G441" s="14" t="str">
        <f aca="false">IF(D441="","",IFERROR(INDEX(Pacientes!$E:$E,MATCH(D441,Pacientes!$A:$A,0))&amp;"","ID no existe"))</f>
        <v/>
      </c>
      <c r="H441" s="9"/>
      <c r="I441" s="6"/>
      <c r="J441" s="6"/>
      <c r="K441" s="6"/>
      <c r="L441" s="7"/>
      <c r="M441" s="7"/>
      <c r="N441" s="6"/>
      <c r="O441" s="6"/>
    </row>
    <row r="442" customFormat="false" ht="15" hidden="false" customHeight="false" outlineLevel="0" collapsed="false">
      <c r="A442" s="6"/>
      <c r="B442" s="10"/>
      <c r="C442" s="16" t="str">
        <f aca="false">IF(B442="","",DATE(YEAR(B442),MONTH(B442),1))</f>
        <v/>
      </c>
      <c r="D442" s="6"/>
      <c r="E442" s="14" t="str">
        <f aca="false">IF(D442="","",IFERROR(INDEX(Pacientes!$Q:$Q,MATCH(D442,Pacientes!$A:$A,0))&amp;"","ID no existe"))</f>
        <v/>
      </c>
      <c r="F442" s="14" t="str">
        <f aca="false">IF(D442="","",IFERROR(INDEX(Pacientes!$D:$D,MATCH(D442,Pacientes!$A:$A,0))&amp;"","ID no existe"))</f>
        <v/>
      </c>
      <c r="G442" s="14" t="str">
        <f aca="false">IF(D442="","",IFERROR(INDEX(Pacientes!$E:$E,MATCH(D442,Pacientes!$A:$A,0))&amp;"","ID no existe"))</f>
        <v/>
      </c>
      <c r="H442" s="9"/>
      <c r="I442" s="6"/>
      <c r="J442" s="6"/>
      <c r="K442" s="6"/>
      <c r="L442" s="7"/>
      <c r="M442" s="7"/>
      <c r="N442" s="6"/>
      <c r="O442" s="6"/>
    </row>
    <row r="443" customFormat="false" ht="15" hidden="false" customHeight="false" outlineLevel="0" collapsed="false">
      <c r="A443" s="6"/>
      <c r="B443" s="10"/>
      <c r="C443" s="16" t="str">
        <f aca="false">IF(B443="","",DATE(YEAR(B443),MONTH(B443),1))</f>
        <v/>
      </c>
      <c r="D443" s="6"/>
      <c r="E443" s="14" t="str">
        <f aca="false">IF(D443="","",IFERROR(INDEX(Pacientes!$Q:$Q,MATCH(D443,Pacientes!$A:$A,0))&amp;"","ID no existe"))</f>
        <v/>
      </c>
      <c r="F443" s="14" t="str">
        <f aca="false">IF(D443="","",IFERROR(INDEX(Pacientes!$D:$D,MATCH(D443,Pacientes!$A:$A,0))&amp;"","ID no existe"))</f>
        <v/>
      </c>
      <c r="G443" s="14" t="str">
        <f aca="false">IF(D443="","",IFERROR(INDEX(Pacientes!$E:$E,MATCH(D443,Pacientes!$A:$A,0))&amp;"","ID no existe"))</f>
        <v/>
      </c>
      <c r="H443" s="9"/>
      <c r="I443" s="6"/>
      <c r="J443" s="6"/>
      <c r="K443" s="6"/>
      <c r="L443" s="7"/>
      <c r="M443" s="7"/>
      <c r="N443" s="6"/>
      <c r="O443" s="6"/>
    </row>
    <row r="444" customFormat="false" ht="15" hidden="false" customHeight="false" outlineLevel="0" collapsed="false">
      <c r="A444" s="6"/>
      <c r="B444" s="10"/>
      <c r="C444" s="16" t="str">
        <f aca="false">IF(B444="","",DATE(YEAR(B444),MONTH(B444),1))</f>
        <v/>
      </c>
      <c r="D444" s="6"/>
      <c r="E444" s="14" t="str">
        <f aca="false">IF(D444="","",IFERROR(INDEX(Pacientes!$Q:$Q,MATCH(D444,Pacientes!$A:$A,0))&amp;"","ID no existe"))</f>
        <v/>
      </c>
      <c r="F444" s="14" t="str">
        <f aca="false">IF(D444="","",IFERROR(INDEX(Pacientes!$D:$D,MATCH(D444,Pacientes!$A:$A,0))&amp;"","ID no existe"))</f>
        <v/>
      </c>
      <c r="G444" s="14" t="str">
        <f aca="false">IF(D444="","",IFERROR(INDEX(Pacientes!$E:$E,MATCH(D444,Pacientes!$A:$A,0))&amp;"","ID no existe"))</f>
        <v/>
      </c>
      <c r="H444" s="9"/>
      <c r="I444" s="6"/>
      <c r="J444" s="6"/>
      <c r="K444" s="6"/>
      <c r="L444" s="7"/>
      <c r="M444" s="7"/>
      <c r="N444" s="6"/>
      <c r="O444" s="6"/>
    </row>
    <row r="445" customFormat="false" ht="15" hidden="false" customHeight="false" outlineLevel="0" collapsed="false">
      <c r="A445" s="6"/>
      <c r="B445" s="10"/>
      <c r="C445" s="16" t="str">
        <f aca="false">IF(B445="","",DATE(YEAR(B445),MONTH(B445),1))</f>
        <v/>
      </c>
      <c r="D445" s="6"/>
      <c r="E445" s="14" t="str">
        <f aca="false">IF(D445="","",IFERROR(INDEX(Pacientes!$Q:$Q,MATCH(D445,Pacientes!$A:$A,0))&amp;"","ID no existe"))</f>
        <v/>
      </c>
      <c r="F445" s="14" t="str">
        <f aca="false">IF(D445="","",IFERROR(INDEX(Pacientes!$D:$D,MATCH(D445,Pacientes!$A:$A,0))&amp;"","ID no existe"))</f>
        <v/>
      </c>
      <c r="G445" s="14" t="str">
        <f aca="false">IF(D445="","",IFERROR(INDEX(Pacientes!$E:$E,MATCH(D445,Pacientes!$A:$A,0))&amp;"","ID no existe"))</f>
        <v/>
      </c>
      <c r="H445" s="9"/>
      <c r="I445" s="6"/>
      <c r="J445" s="6"/>
      <c r="K445" s="6"/>
      <c r="L445" s="7"/>
      <c r="M445" s="7"/>
      <c r="N445" s="6"/>
      <c r="O445" s="6"/>
    </row>
    <row r="446" customFormat="false" ht="15" hidden="false" customHeight="false" outlineLevel="0" collapsed="false">
      <c r="A446" s="6"/>
      <c r="B446" s="10"/>
      <c r="C446" s="16" t="str">
        <f aca="false">IF(B446="","",DATE(YEAR(B446),MONTH(B446),1))</f>
        <v/>
      </c>
      <c r="D446" s="6"/>
      <c r="E446" s="14" t="str">
        <f aca="false">IF(D446="","",IFERROR(INDEX(Pacientes!$Q:$Q,MATCH(D446,Pacientes!$A:$A,0))&amp;"","ID no existe"))</f>
        <v/>
      </c>
      <c r="F446" s="14" t="str">
        <f aca="false">IF(D446="","",IFERROR(INDEX(Pacientes!$D:$D,MATCH(D446,Pacientes!$A:$A,0))&amp;"","ID no existe"))</f>
        <v/>
      </c>
      <c r="G446" s="14" t="str">
        <f aca="false">IF(D446="","",IFERROR(INDEX(Pacientes!$E:$E,MATCH(D446,Pacientes!$A:$A,0))&amp;"","ID no existe"))</f>
        <v/>
      </c>
      <c r="H446" s="9"/>
      <c r="I446" s="6"/>
      <c r="J446" s="6"/>
      <c r="K446" s="6"/>
      <c r="L446" s="7"/>
      <c r="M446" s="7"/>
      <c r="N446" s="6"/>
      <c r="O446" s="6"/>
    </row>
    <row r="447" customFormat="false" ht="15" hidden="false" customHeight="false" outlineLevel="0" collapsed="false">
      <c r="A447" s="6"/>
      <c r="B447" s="10"/>
      <c r="C447" s="16" t="str">
        <f aca="false">IF(B447="","",DATE(YEAR(B447),MONTH(B447),1))</f>
        <v/>
      </c>
      <c r="D447" s="6"/>
      <c r="E447" s="14" t="str">
        <f aca="false">IF(D447="","",IFERROR(INDEX(Pacientes!$Q:$Q,MATCH(D447,Pacientes!$A:$A,0))&amp;"","ID no existe"))</f>
        <v/>
      </c>
      <c r="F447" s="14" t="str">
        <f aca="false">IF(D447="","",IFERROR(INDEX(Pacientes!$D:$D,MATCH(D447,Pacientes!$A:$A,0))&amp;"","ID no existe"))</f>
        <v/>
      </c>
      <c r="G447" s="14" t="str">
        <f aca="false">IF(D447="","",IFERROR(INDEX(Pacientes!$E:$E,MATCH(D447,Pacientes!$A:$A,0))&amp;"","ID no existe"))</f>
        <v/>
      </c>
      <c r="H447" s="9"/>
      <c r="I447" s="6"/>
      <c r="J447" s="6"/>
      <c r="K447" s="6"/>
      <c r="L447" s="7"/>
      <c r="M447" s="7"/>
      <c r="N447" s="6"/>
      <c r="O447" s="6"/>
    </row>
    <row r="448" customFormat="false" ht="15" hidden="false" customHeight="false" outlineLevel="0" collapsed="false">
      <c r="A448" s="6"/>
      <c r="B448" s="10"/>
      <c r="C448" s="16" t="str">
        <f aca="false">IF(B448="","",DATE(YEAR(B448),MONTH(B448),1))</f>
        <v/>
      </c>
      <c r="D448" s="6"/>
      <c r="E448" s="14" t="str">
        <f aca="false">IF(D448="","",IFERROR(INDEX(Pacientes!$Q:$Q,MATCH(D448,Pacientes!$A:$A,0))&amp;"","ID no existe"))</f>
        <v/>
      </c>
      <c r="F448" s="14" t="str">
        <f aca="false">IF(D448="","",IFERROR(INDEX(Pacientes!$D:$D,MATCH(D448,Pacientes!$A:$A,0))&amp;"","ID no existe"))</f>
        <v/>
      </c>
      <c r="G448" s="14" t="str">
        <f aca="false">IF(D448="","",IFERROR(INDEX(Pacientes!$E:$E,MATCH(D448,Pacientes!$A:$A,0))&amp;"","ID no existe"))</f>
        <v/>
      </c>
      <c r="H448" s="9"/>
      <c r="I448" s="6"/>
      <c r="J448" s="6"/>
      <c r="K448" s="6"/>
      <c r="L448" s="7"/>
      <c r="M448" s="7"/>
      <c r="N448" s="6"/>
      <c r="O448" s="6"/>
    </row>
    <row r="449" customFormat="false" ht="15" hidden="false" customHeight="false" outlineLevel="0" collapsed="false">
      <c r="A449" s="6"/>
      <c r="B449" s="10"/>
      <c r="C449" s="16" t="str">
        <f aca="false">IF(B449="","",DATE(YEAR(B449),MONTH(B449),1))</f>
        <v/>
      </c>
      <c r="D449" s="6"/>
      <c r="E449" s="14" t="str">
        <f aca="false">IF(D449="","",IFERROR(INDEX(Pacientes!$Q:$Q,MATCH(D449,Pacientes!$A:$A,0))&amp;"","ID no existe"))</f>
        <v/>
      </c>
      <c r="F449" s="14" t="str">
        <f aca="false">IF(D449="","",IFERROR(INDEX(Pacientes!$D:$D,MATCH(D449,Pacientes!$A:$A,0))&amp;"","ID no existe"))</f>
        <v/>
      </c>
      <c r="G449" s="14" t="str">
        <f aca="false">IF(D449="","",IFERROR(INDEX(Pacientes!$E:$E,MATCH(D449,Pacientes!$A:$A,0))&amp;"","ID no existe"))</f>
        <v/>
      </c>
      <c r="H449" s="9"/>
      <c r="I449" s="6"/>
      <c r="J449" s="6"/>
      <c r="K449" s="6"/>
      <c r="L449" s="7"/>
      <c r="M449" s="7"/>
      <c r="N449" s="6"/>
      <c r="O449" s="6"/>
    </row>
    <row r="450" customFormat="false" ht="15" hidden="false" customHeight="false" outlineLevel="0" collapsed="false">
      <c r="A450" s="6"/>
      <c r="B450" s="10"/>
      <c r="C450" s="16" t="str">
        <f aca="false">IF(B450="","",DATE(YEAR(B450),MONTH(B450),1))</f>
        <v/>
      </c>
      <c r="D450" s="6"/>
      <c r="E450" s="14" t="str">
        <f aca="false">IF(D450="","",IFERROR(INDEX(Pacientes!$Q:$Q,MATCH(D450,Pacientes!$A:$A,0))&amp;"","ID no existe"))</f>
        <v/>
      </c>
      <c r="F450" s="14" t="str">
        <f aca="false">IF(D450="","",IFERROR(INDEX(Pacientes!$D:$D,MATCH(D450,Pacientes!$A:$A,0))&amp;"","ID no existe"))</f>
        <v/>
      </c>
      <c r="G450" s="14" t="str">
        <f aca="false">IF(D450="","",IFERROR(INDEX(Pacientes!$E:$E,MATCH(D450,Pacientes!$A:$A,0))&amp;"","ID no existe"))</f>
        <v/>
      </c>
      <c r="H450" s="9"/>
      <c r="I450" s="6"/>
      <c r="J450" s="6"/>
      <c r="K450" s="6"/>
      <c r="L450" s="7"/>
      <c r="M450" s="7"/>
      <c r="N450" s="6"/>
      <c r="O450" s="6"/>
    </row>
    <row r="451" customFormat="false" ht="15" hidden="false" customHeight="false" outlineLevel="0" collapsed="false">
      <c r="A451" s="6"/>
      <c r="B451" s="10"/>
      <c r="C451" s="16" t="str">
        <f aca="false">IF(B451="","",DATE(YEAR(B451),MONTH(B451),1))</f>
        <v/>
      </c>
      <c r="D451" s="6"/>
      <c r="E451" s="14" t="str">
        <f aca="false">IF(D451="","",IFERROR(INDEX(Pacientes!$Q:$Q,MATCH(D451,Pacientes!$A:$A,0))&amp;"","ID no existe"))</f>
        <v/>
      </c>
      <c r="F451" s="14" t="str">
        <f aca="false">IF(D451="","",IFERROR(INDEX(Pacientes!$D:$D,MATCH(D451,Pacientes!$A:$A,0))&amp;"","ID no existe"))</f>
        <v/>
      </c>
      <c r="G451" s="14" t="str">
        <f aca="false">IF(D451="","",IFERROR(INDEX(Pacientes!$E:$E,MATCH(D451,Pacientes!$A:$A,0))&amp;"","ID no existe"))</f>
        <v/>
      </c>
      <c r="H451" s="9"/>
      <c r="I451" s="6"/>
      <c r="J451" s="6"/>
      <c r="K451" s="6"/>
      <c r="L451" s="7"/>
      <c r="M451" s="7"/>
      <c r="N451" s="6"/>
      <c r="O451" s="6"/>
    </row>
    <row r="452" customFormat="false" ht="15" hidden="false" customHeight="false" outlineLevel="0" collapsed="false">
      <c r="A452" s="6"/>
      <c r="B452" s="10"/>
      <c r="C452" s="16" t="str">
        <f aca="false">IF(B452="","",DATE(YEAR(B452),MONTH(B452),1))</f>
        <v/>
      </c>
      <c r="D452" s="6"/>
      <c r="E452" s="14" t="str">
        <f aca="false">IF(D452="","",IFERROR(INDEX(Pacientes!$Q:$Q,MATCH(D452,Pacientes!$A:$A,0))&amp;"","ID no existe"))</f>
        <v/>
      </c>
      <c r="F452" s="14" t="str">
        <f aca="false">IF(D452="","",IFERROR(INDEX(Pacientes!$D:$D,MATCH(D452,Pacientes!$A:$A,0))&amp;"","ID no existe"))</f>
        <v/>
      </c>
      <c r="G452" s="14" t="str">
        <f aca="false">IF(D452="","",IFERROR(INDEX(Pacientes!$E:$E,MATCH(D452,Pacientes!$A:$A,0))&amp;"","ID no existe"))</f>
        <v/>
      </c>
      <c r="H452" s="9"/>
      <c r="I452" s="6"/>
      <c r="J452" s="6"/>
      <c r="K452" s="6"/>
      <c r="L452" s="7"/>
      <c r="M452" s="7"/>
      <c r="N452" s="6"/>
      <c r="O452" s="6"/>
    </row>
    <row r="453" customFormat="false" ht="15" hidden="false" customHeight="false" outlineLevel="0" collapsed="false">
      <c r="A453" s="6"/>
      <c r="B453" s="10"/>
      <c r="C453" s="16" t="str">
        <f aca="false">IF(B453="","",DATE(YEAR(B453),MONTH(B453),1))</f>
        <v/>
      </c>
      <c r="D453" s="6"/>
      <c r="E453" s="14" t="str">
        <f aca="false">IF(D453="","",IFERROR(INDEX(Pacientes!$Q:$Q,MATCH(D453,Pacientes!$A:$A,0))&amp;"","ID no existe"))</f>
        <v/>
      </c>
      <c r="F453" s="14" t="str">
        <f aca="false">IF(D453="","",IFERROR(INDEX(Pacientes!$D:$D,MATCH(D453,Pacientes!$A:$A,0))&amp;"","ID no existe"))</f>
        <v/>
      </c>
      <c r="G453" s="14" t="str">
        <f aca="false">IF(D453="","",IFERROR(INDEX(Pacientes!$E:$E,MATCH(D453,Pacientes!$A:$A,0))&amp;"","ID no existe"))</f>
        <v/>
      </c>
      <c r="H453" s="9"/>
      <c r="I453" s="6"/>
      <c r="J453" s="6"/>
      <c r="K453" s="6"/>
      <c r="L453" s="7"/>
      <c r="M453" s="7"/>
      <c r="N453" s="6"/>
      <c r="O453" s="6"/>
    </row>
    <row r="454" customFormat="false" ht="15" hidden="false" customHeight="false" outlineLevel="0" collapsed="false">
      <c r="A454" s="6"/>
      <c r="B454" s="10"/>
      <c r="C454" s="16" t="str">
        <f aca="false">IF(B454="","",DATE(YEAR(B454),MONTH(B454),1))</f>
        <v/>
      </c>
      <c r="D454" s="6"/>
      <c r="E454" s="14" t="str">
        <f aca="false">IF(D454="","",IFERROR(INDEX(Pacientes!$Q:$Q,MATCH(D454,Pacientes!$A:$A,0))&amp;"","ID no existe"))</f>
        <v/>
      </c>
      <c r="F454" s="14" t="str">
        <f aca="false">IF(D454="","",IFERROR(INDEX(Pacientes!$D:$D,MATCH(D454,Pacientes!$A:$A,0))&amp;"","ID no existe"))</f>
        <v/>
      </c>
      <c r="G454" s="14" t="str">
        <f aca="false">IF(D454="","",IFERROR(INDEX(Pacientes!$E:$E,MATCH(D454,Pacientes!$A:$A,0))&amp;"","ID no existe"))</f>
        <v/>
      </c>
      <c r="H454" s="9"/>
      <c r="I454" s="6"/>
      <c r="J454" s="6"/>
      <c r="K454" s="6"/>
      <c r="L454" s="7"/>
      <c r="M454" s="7"/>
      <c r="N454" s="6"/>
      <c r="O454" s="6"/>
    </row>
    <row r="455" customFormat="false" ht="15" hidden="false" customHeight="false" outlineLevel="0" collapsed="false">
      <c r="A455" s="6"/>
      <c r="B455" s="10"/>
      <c r="C455" s="16" t="str">
        <f aca="false">IF(B455="","",DATE(YEAR(B455),MONTH(B455),1))</f>
        <v/>
      </c>
      <c r="D455" s="6"/>
      <c r="E455" s="14" t="str">
        <f aca="false">IF(D455="","",IFERROR(INDEX(Pacientes!$Q:$Q,MATCH(D455,Pacientes!$A:$A,0))&amp;"","ID no existe"))</f>
        <v/>
      </c>
      <c r="F455" s="14" t="str">
        <f aca="false">IF(D455="","",IFERROR(INDEX(Pacientes!$D:$D,MATCH(D455,Pacientes!$A:$A,0))&amp;"","ID no existe"))</f>
        <v/>
      </c>
      <c r="G455" s="14" t="str">
        <f aca="false">IF(D455="","",IFERROR(INDEX(Pacientes!$E:$E,MATCH(D455,Pacientes!$A:$A,0))&amp;"","ID no existe"))</f>
        <v/>
      </c>
      <c r="H455" s="9"/>
      <c r="I455" s="6"/>
      <c r="J455" s="6"/>
      <c r="K455" s="6"/>
      <c r="L455" s="7"/>
      <c r="M455" s="7"/>
      <c r="N455" s="6"/>
      <c r="O455" s="6"/>
    </row>
    <row r="456" customFormat="false" ht="15" hidden="false" customHeight="false" outlineLevel="0" collapsed="false">
      <c r="A456" s="6"/>
      <c r="B456" s="10"/>
      <c r="C456" s="16" t="str">
        <f aca="false">IF(B456="","",DATE(YEAR(B456),MONTH(B456),1))</f>
        <v/>
      </c>
      <c r="D456" s="6"/>
      <c r="E456" s="14" t="str">
        <f aca="false">IF(D456="","",IFERROR(INDEX(Pacientes!$Q:$Q,MATCH(D456,Pacientes!$A:$A,0))&amp;"","ID no existe"))</f>
        <v/>
      </c>
      <c r="F456" s="14" t="str">
        <f aca="false">IF(D456="","",IFERROR(INDEX(Pacientes!$D:$D,MATCH(D456,Pacientes!$A:$A,0))&amp;"","ID no existe"))</f>
        <v/>
      </c>
      <c r="G456" s="14" t="str">
        <f aca="false">IF(D456="","",IFERROR(INDEX(Pacientes!$E:$E,MATCH(D456,Pacientes!$A:$A,0))&amp;"","ID no existe"))</f>
        <v/>
      </c>
      <c r="H456" s="9"/>
      <c r="I456" s="6"/>
      <c r="J456" s="6"/>
      <c r="K456" s="6"/>
      <c r="L456" s="7"/>
      <c r="M456" s="7"/>
      <c r="N456" s="6"/>
      <c r="O456" s="6"/>
    </row>
    <row r="457" customFormat="false" ht="15" hidden="false" customHeight="false" outlineLevel="0" collapsed="false">
      <c r="A457" s="6"/>
      <c r="B457" s="10"/>
      <c r="C457" s="16" t="str">
        <f aca="false">IF(B457="","",DATE(YEAR(B457),MONTH(B457),1))</f>
        <v/>
      </c>
      <c r="D457" s="6"/>
      <c r="E457" s="14" t="str">
        <f aca="false">IF(D457="","",IFERROR(INDEX(Pacientes!$Q:$Q,MATCH(D457,Pacientes!$A:$A,0))&amp;"","ID no existe"))</f>
        <v/>
      </c>
      <c r="F457" s="14" t="str">
        <f aca="false">IF(D457="","",IFERROR(INDEX(Pacientes!$D:$D,MATCH(D457,Pacientes!$A:$A,0))&amp;"","ID no existe"))</f>
        <v/>
      </c>
      <c r="G457" s="14" t="str">
        <f aca="false">IF(D457="","",IFERROR(INDEX(Pacientes!$E:$E,MATCH(D457,Pacientes!$A:$A,0))&amp;"","ID no existe"))</f>
        <v/>
      </c>
      <c r="H457" s="9"/>
      <c r="I457" s="6"/>
      <c r="J457" s="6"/>
      <c r="K457" s="6"/>
      <c r="L457" s="7"/>
      <c r="M457" s="7"/>
      <c r="N457" s="6"/>
      <c r="O457" s="6"/>
    </row>
    <row r="458" customFormat="false" ht="15" hidden="false" customHeight="false" outlineLevel="0" collapsed="false">
      <c r="A458" s="6"/>
      <c r="B458" s="10"/>
      <c r="C458" s="16" t="str">
        <f aca="false">IF(B458="","",DATE(YEAR(B458),MONTH(B458),1))</f>
        <v/>
      </c>
      <c r="D458" s="6"/>
      <c r="E458" s="14" t="str">
        <f aca="false">IF(D458="","",IFERROR(INDEX(Pacientes!$Q:$Q,MATCH(D458,Pacientes!$A:$A,0))&amp;"","ID no existe"))</f>
        <v/>
      </c>
      <c r="F458" s="14" t="str">
        <f aca="false">IF(D458="","",IFERROR(INDEX(Pacientes!$D:$D,MATCH(D458,Pacientes!$A:$A,0))&amp;"","ID no existe"))</f>
        <v/>
      </c>
      <c r="G458" s="14" t="str">
        <f aca="false">IF(D458="","",IFERROR(INDEX(Pacientes!$E:$E,MATCH(D458,Pacientes!$A:$A,0))&amp;"","ID no existe"))</f>
        <v/>
      </c>
      <c r="H458" s="9"/>
      <c r="I458" s="6"/>
      <c r="J458" s="6"/>
      <c r="K458" s="6"/>
      <c r="L458" s="7"/>
      <c r="M458" s="7"/>
      <c r="N458" s="6"/>
      <c r="O458" s="6"/>
    </row>
    <row r="459" customFormat="false" ht="15" hidden="false" customHeight="false" outlineLevel="0" collapsed="false">
      <c r="A459" s="6"/>
      <c r="B459" s="10"/>
      <c r="C459" s="16" t="str">
        <f aca="false">IF(B459="","",DATE(YEAR(B459),MONTH(B459),1))</f>
        <v/>
      </c>
      <c r="D459" s="6"/>
      <c r="E459" s="14" t="str">
        <f aca="false">IF(D459="","",IFERROR(INDEX(Pacientes!$Q:$Q,MATCH(D459,Pacientes!$A:$A,0))&amp;"","ID no existe"))</f>
        <v/>
      </c>
      <c r="F459" s="14" t="str">
        <f aca="false">IF(D459="","",IFERROR(INDEX(Pacientes!$D:$D,MATCH(D459,Pacientes!$A:$A,0))&amp;"","ID no existe"))</f>
        <v/>
      </c>
      <c r="G459" s="14" t="str">
        <f aca="false">IF(D459="","",IFERROR(INDEX(Pacientes!$E:$E,MATCH(D459,Pacientes!$A:$A,0))&amp;"","ID no existe"))</f>
        <v/>
      </c>
      <c r="H459" s="9"/>
      <c r="I459" s="6"/>
      <c r="J459" s="6"/>
      <c r="K459" s="6"/>
      <c r="L459" s="7"/>
      <c r="M459" s="7"/>
      <c r="N459" s="6"/>
      <c r="O459" s="6"/>
    </row>
    <row r="460" customFormat="false" ht="15" hidden="false" customHeight="false" outlineLevel="0" collapsed="false">
      <c r="A460" s="6"/>
      <c r="B460" s="10"/>
      <c r="C460" s="16" t="str">
        <f aca="false">IF(B460="","",DATE(YEAR(B460),MONTH(B460),1))</f>
        <v/>
      </c>
      <c r="D460" s="6"/>
      <c r="E460" s="14" t="str">
        <f aca="false">IF(D460="","",IFERROR(INDEX(Pacientes!$Q:$Q,MATCH(D460,Pacientes!$A:$A,0))&amp;"","ID no existe"))</f>
        <v/>
      </c>
      <c r="F460" s="14" t="str">
        <f aca="false">IF(D460="","",IFERROR(INDEX(Pacientes!$D:$D,MATCH(D460,Pacientes!$A:$A,0))&amp;"","ID no existe"))</f>
        <v/>
      </c>
      <c r="G460" s="14" t="str">
        <f aca="false">IF(D460="","",IFERROR(INDEX(Pacientes!$E:$E,MATCH(D460,Pacientes!$A:$A,0))&amp;"","ID no existe"))</f>
        <v/>
      </c>
      <c r="H460" s="9"/>
      <c r="I460" s="6"/>
      <c r="J460" s="6"/>
      <c r="K460" s="6"/>
      <c r="L460" s="7"/>
      <c r="M460" s="7"/>
      <c r="N460" s="6"/>
      <c r="O460" s="6"/>
    </row>
    <row r="461" customFormat="false" ht="15" hidden="false" customHeight="false" outlineLevel="0" collapsed="false">
      <c r="A461" s="6"/>
      <c r="B461" s="10"/>
      <c r="C461" s="16" t="str">
        <f aca="false">IF(B461="","",DATE(YEAR(B461),MONTH(B461),1))</f>
        <v/>
      </c>
      <c r="D461" s="6"/>
      <c r="E461" s="14" t="str">
        <f aca="false">IF(D461="","",IFERROR(INDEX(Pacientes!$Q:$Q,MATCH(D461,Pacientes!$A:$A,0))&amp;"","ID no existe"))</f>
        <v/>
      </c>
      <c r="F461" s="14" t="str">
        <f aca="false">IF(D461="","",IFERROR(INDEX(Pacientes!$D:$D,MATCH(D461,Pacientes!$A:$A,0))&amp;"","ID no existe"))</f>
        <v/>
      </c>
      <c r="G461" s="14" t="str">
        <f aca="false">IF(D461="","",IFERROR(INDEX(Pacientes!$E:$E,MATCH(D461,Pacientes!$A:$A,0))&amp;"","ID no existe"))</f>
        <v/>
      </c>
      <c r="H461" s="9"/>
      <c r="I461" s="6"/>
      <c r="J461" s="6"/>
      <c r="K461" s="6"/>
      <c r="L461" s="7"/>
      <c r="M461" s="7"/>
      <c r="N461" s="6"/>
      <c r="O461" s="6"/>
    </row>
    <row r="462" customFormat="false" ht="15" hidden="false" customHeight="false" outlineLevel="0" collapsed="false">
      <c r="A462" s="6"/>
      <c r="B462" s="10"/>
      <c r="C462" s="16" t="str">
        <f aca="false">IF(B462="","",DATE(YEAR(B462),MONTH(B462),1))</f>
        <v/>
      </c>
      <c r="D462" s="6"/>
      <c r="E462" s="14" t="str">
        <f aca="false">IF(D462="","",IFERROR(INDEX(Pacientes!$Q:$Q,MATCH(D462,Pacientes!$A:$A,0))&amp;"","ID no existe"))</f>
        <v/>
      </c>
      <c r="F462" s="14" t="str">
        <f aca="false">IF(D462="","",IFERROR(INDEX(Pacientes!$D:$D,MATCH(D462,Pacientes!$A:$A,0))&amp;"","ID no existe"))</f>
        <v/>
      </c>
      <c r="G462" s="14" t="str">
        <f aca="false">IF(D462="","",IFERROR(INDEX(Pacientes!$E:$E,MATCH(D462,Pacientes!$A:$A,0))&amp;"","ID no existe"))</f>
        <v/>
      </c>
      <c r="H462" s="9"/>
      <c r="I462" s="6"/>
      <c r="J462" s="6"/>
      <c r="K462" s="6"/>
      <c r="L462" s="7"/>
      <c r="M462" s="7"/>
      <c r="N462" s="6"/>
      <c r="O462" s="6"/>
    </row>
    <row r="463" customFormat="false" ht="15" hidden="false" customHeight="false" outlineLevel="0" collapsed="false">
      <c r="A463" s="6"/>
      <c r="B463" s="10"/>
      <c r="C463" s="16" t="str">
        <f aca="false">IF(B463="","",DATE(YEAR(B463),MONTH(B463),1))</f>
        <v/>
      </c>
      <c r="D463" s="6"/>
      <c r="E463" s="14" t="str">
        <f aca="false">IF(D463="","",IFERROR(INDEX(Pacientes!$Q:$Q,MATCH(D463,Pacientes!$A:$A,0))&amp;"","ID no existe"))</f>
        <v/>
      </c>
      <c r="F463" s="14" t="str">
        <f aca="false">IF(D463="","",IFERROR(INDEX(Pacientes!$D:$D,MATCH(D463,Pacientes!$A:$A,0))&amp;"","ID no existe"))</f>
        <v/>
      </c>
      <c r="G463" s="14" t="str">
        <f aca="false">IF(D463="","",IFERROR(INDEX(Pacientes!$E:$E,MATCH(D463,Pacientes!$A:$A,0))&amp;"","ID no existe"))</f>
        <v/>
      </c>
      <c r="H463" s="9"/>
      <c r="I463" s="6"/>
      <c r="J463" s="6"/>
      <c r="K463" s="6"/>
      <c r="L463" s="7"/>
      <c r="M463" s="7"/>
      <c r="N463" s="6"/>
      <c r="O463" s="6"/>
    </row>
    <row r="464" customFormat="false" ht="15" hidden="false" customHeight="false" outlineLevel="0" collapsed="false">
      <c r="A464" s="6"/>
      <c r="B464" s="10"/>
      <c r="C464" s="16" t="str">
        <f aca="false">IF(B464="","",DATE(YEAR(B464),MONTH(B464),1))</f>
        <v/>
      </c>
      <c r="D464" s="6"/>
      <c r="E464" s="14" t="str">
        <f aca="false">IF(D464="","",IFERROR(INDEX(Pacientes!$Q:$Q,MATCH(D464,Pacientes!$A:$A,0))&amp;"","ID no existe"))</f>
        <v/>
      </c>
      <c r="F464" s="14" t="str">
        <f aca="false">IF(D464="","",IFERROR(INDEX(Pacientes!$D:$D,MATCH(D464,Pacientes!$A:$A,0))&amp;"","ID no existe"))</f>
        <v/>
      </c>
      <c r="G464" s="14" t="str">
        <f aca="false">IF(D464="","",IFERROR(INDEX(Pacientes!$E:$E,MATCH(D464,Pacientes!$A:$A,0))&amp;"","ID no existe"))</f>
        <v/>
      </c>
      <c r="H464" s="9"/>
      <c r="I464" s="6"/>
      <c r="J464" s="6"/>
      <c r="K464" s="6"/>
      <c r="L464" s="7"/>
      <c r="M464" s="7"/>
      <c r="N464" s="6"/>
      <c r="O464" s="6"/>
    </row>
    <row r="465" customFormat="false" ht="15" hidden="false" customHeight="false" outlineLevel="0" collapsed="false">
      <c r="A465" s="6"/>
      <c r="B465" s="10"/>
      <c r="C465" s="16" t="str">
        <f aca="false">IF(B465="","",DATE(YEAR(B465),MONTH(B465),1))</f>
        <v/>
      </c>
      <c r="D465" s="6"/>
      <c r="E465" s="14" t="str">
        <f aca="false">IF(D465="","",IFERROR(INDEX(Pacientes!$Q:$Q,MATCH(D465,Pacientes!$A:$A,0))&amp;"","ID no existe"))</f>
        <v/>
      </c>
      <c r="F465" s="14" t="str">
        <f aca="false">IF(D465="","",IFERROR(INDEX(Pacientes!$D:$D,MATCH(D465,Pacientes!$A:$A,0))&amp;"","ID no existe"))</f>
        <v/>
      </c>
      <c r="G465" s="14" t="str">
        <f aca="false">IF(D465="","",IFERROR(INDEX(Pacientes!$E:$E,MATCH(D465,Pacientes!$A:$A,0))&amp;"","ID no existe"))</f>
        <v/>
      </c>
      <c r="H465" s="9"/>
      <c r="I465" s="6"/>
      <c r="J465" s="6"/>
      <c r="K465" s="6"/>
      <c r="L465" s="7"/>
      <c r="M465" s="7"/>
      <c r="N465" s="6"/>
      <c r="O465" s="6"/>
    </row>
    <row r="466" customFormat="false" ht="15" hidden="false" customHeight="false" outlineLevel="0" collapsed="false">
      <c r="A466" s="6"/>
      <c r="B466" s="10"/>
      <c r="C466" s="16" t="str">
        <f aca="false">IF(B466="","",DATE(YEAR(B466),MONTH(B466),1))</f>
        <v/>
      </c>
      <c r="D466" s="6"/>
      <c r="E466" s="14" t="str">
        <f aca="false">IF(D466="","",IFERROR(INDEX(Pacientes!$Q:$Q,MATCH(D466,Pacientes!$A:$A,0))&amp;"","ID no existe"))</f>
        <v/>
      </c>
      <c r="F466" s="14" t="str">
        <f aca="false">IF(D466="","",IFERROR(INDEX(Pacientes!$D:$D,MATCH(D466,Pacientes!$A:$A,0))&amp;"","ID no existe"))</f>
        <v/>
      </c>
      <c r="G466" s="14" t="str">
        <f aca="false">IF(D466="","",IFERROR(INDEX(Pacientes!$E:$E,MATCH(D466,Pacientes!$A:$A,0))&amp;"","ID no existe"))</f>
        <v/>
      </c>
      <c r="H466" s="9"/>
      <c r="I466" s="6"/>
      <c r="J466" s="6"/>
      <c r="K466" s="6"/>
      <c r="L466" s="7"/>
      <c r="M466" s="7"/>
      <c r="N466" s="6"/>
      <c r="O466" s="6"/>
    </row>
    <row r="467" customFormat="false" ht="15" hidden="false" customHeight="false" outlineLevel="0" collapsed="false">
      <c r="A467" s="6"/>
      <c r="B467" s="10"/>
      <c r="C467" s="16" t="str">
        <f aca="false">IF(B467="","",DATE(YEAR(B467),MONTH(B467),1))</f>
        <v/>
      </c>
      <c r="D467" s="6"/>
      <c r="E467" s="14" t="str">
        <f aca="false">IF(D467="","",IFERROR(INDEX(Pacientes!$Q:$Q,MATCH(D467,Pacientes!$A:$A,0))&amp;"","ID no existe"))</f>
        <v/>
      </c>
      <c r="F467" s="14" t="str">
        <f aca="false">IF(D467="","",IFERROR(INDEX(Pacientes!$D:$D,MATCH(D467,Pacientes!$A:$A,0))&amp;"","ID no existe"))</f>
        <v/>
      </c>
      <c r="G467" s="14" t="str">
        <f aca="false">IF(D467="","",IFERROR(INDEX(Pacientes!$E:$E,MATCH(D467,Pacientes!$A:$A,0))&amp;"","ID no existe"))</f>
        <v/>
      </c>
      <c r="H467" s="9"/>
      <c r="I467" s="6"/>
      <c r="J467" s="6"/>
      <c r="K467" s="6"/>
      <c r="L467" s="7"/>
      <c r="M467" s="7"/>
      <c r="N467" s="6"/>
      <c r="O467" s="6"/>
    </row>
    <row r="468" customFormat="false" ht="15" hidden="false" customHeight="false" outlineLevel="0" collapsed="false">
      <c r="A468" s="6"/>
      <c r="B468" s="10"/>
      <c r="C468" s="16" t="str">
        <f aca="false">IF(B468="","",DATE(YEAR(B468),MONTH(B468),1))</f>
        <v/>
      </c>
      <c r="D468" s="6"/>
      <c r="E468" s="14" t="str">
        <f aca="false">IF(D468="","",IFERROR(INDEX(Pacientes!$Q:$Q,MATCH(D468,Pacientes!$A:$A,0))&amp;"","ID no existe"))</f>
        <v/>
      </c>
      <c r="F468" s="14" t="str">
        <f aca="false">IF(D468="","",IFERROR(INDEX(Pacientes!$D:$D,MATCH(D468,Pacientes!$A:$A,0))&amp;"","ID no existe"))</f>
        <v/>
      </c>
      <c r="G468" s="14" t="str">
        <f aca="false">IF(D468="","",IFERROR(INDEX(Pacientes!$E:$E,MATCH(D468,Pacientes!$A:$A,0))&amp;"","ID no existe"))</f>
        <v/>
      </c>
      <c r="H468" s="9"/>
      <c r="I468" s="6"/>
      <c r="J468" s="6"/>
      <c r="K468" s="6"/>
      <c r="L468" s="7"/>
      <c r="M468" s="7"/>
      <c r="N468" s="6"/>
      <c r="O468" s="6"/>
    </row>
    <row r="469" customFormat="false" ht="15" hidden="false" customHeight="false" outlineLevel="0" collapsed="false">
      <c r="A469" s="6"/>
      <c r="B469" s="10"/>
      <c r="C469" s="16" t="str">
        <f aca="false">IF(B469="","",DATE(YEAR(B469),MONTH(B469),1))</f>
        <v/>
      </c>
      <c r="D469" s="6"/>
      <c r="E469" s="14" t="str">
        <f aca="false">IF(D469="","",IFERROR(INDEX(Pacientes!$Q:$Q,MATCH(D469,Pacientes!$A:$A,0))&amp;"","ID no existe"))</f>
        <v/>
      </c>
      <c r="F469" s="14" t="str">
        <f aca="false">IF(D469="","",IFERROR(INDEX(Pacientes!$D:$D,MATCH(D469,Pacientes!$A:$A,0))&amp;"","ID no existe"))</f>
        <v/>
      </c>
      <c r="G469" s="14" t="str">
        <f aca="false">IF(D469="","",IFERROR(INDEX(Pacientes!$E:$E,MATCH(D469,Pacientes!$A:$A,0))&amp;"","ID no existe"))</f>
        <v/>
      </c>
      <c r="H469" s="9"/>
      <c r="I469" s="6"/>
      <c r="J469" s="6"/>
      <c r="K469" s="6"/>
      <c r="L469" s="7"/>
      <c r="M469" s="7"/>
      <c r="N469" s="6"/>
      <c r="O469" s="6"/>
    </row>
    <row r="470" customFormat="false" ht="15" hidden="false" customHeight="false" outlineLevel="0" collapsed="false">
      <c r="A470" s="6"/>
      <c r="B470" s="10"/>
      <c r="C470" s="16" t="str">
        <f aca="false">IF(B470="","",DATE(YEAR(B470),MONTH(B470),1))</f>
        <v/>
      </c>
      <c r="D470" s="6"/>
      <c r="E470" s="14" t="str">
        <f aca="false">IF(D470="","",IFERROR(INDEX(Pacientes!$Q:$Q,MATCH(D470,Pacientes!$A:$A,0))&amp;"","ID no existe"))</f>
        <v/>
      </c>
      <c r="F470" s="14" t="str">
        <f aca="false">IF(D470="","",IFERROR(INDEX(Pacientes!$D:$D,MATCH(D470,Pacientes!$A:$A,0))&amp;"","ID no existe"))</f>
        <v/>
      </c>
      <c r="G470" s="14" t="str">
        <f aca="false">IF(D470="","",IFERROR(INDEX(Pacientes!$E:$E,MATCH(D470,Pacientes!$A:$A,0))&amp;"","ID no existe"))</f>
        <v/>
      </c>
      <c r="H470" s="9"/>
      <c r="I470" s="6"/>
      <c r="J470" s="6"/>
      <c r="K470" s="6"/>
      <c r="L470" s="7"/>
      <c r="M470" s="7"/>
      <c r="N470" s="6"/>
      <c r="O470" s="6"/>
    </row>
    <row r="471" customFormat="false" ht="15" hidden="false" customHeight="false" outlineLevel="0" collapsed="false">
      <c r="A471" s="6"/>
      <c r="B471" s="10"/>
      <c r="C471" s="16" t="str">
        <f aca="false">IF(B471="","",DATE(YEAR(B471),MONTH(B471),1))</f>
        <v/>
      </c>
      <c r="D471" s="6"/>
      <c r="E471" s="14" t="str">
        <f aca="false">IF(D471="","",IFERROR(INDEX(Pacientes!$Q:$Q,MATCH(D471,Pacientes!$A:$A,0))&amp;"","ID no existe"))</f>
        <v/>
      </c>
      <c r="F471" s="14" t="str">
        <f aca="false">IF(D471="","",IFERROR(INDEX(Pacientes!$D:$D,MATCH(D471,Pacientes!$A:$A,0))&amp;"","ID no existe"))</f>
        <v/>
      </c>
      <c r="G471" s="14" t="str">
        <f aca="false">IF(D471="","",IFERROR(INDEX(Pacientes!$E:$E,MATCH(D471,Pacientes!$A:$A,0))&amp;"","ID no existe"))</f>
        <v/>
      </c>
      <c r="H471" s="9"/>
      <c r="I471" s="6"/>
      <c r="J471" s="6"/>
      <c r="K471" s="6"/>
      <c r="L471" s="7"/>
      <c r="M471" s="7"/>
      <c r="N471" s="6"/>
      <c r="O471" s="6"/>
    </row>
    <row r="472" customFormat="false" ht="15" hidden="false" customHeight="false" outlineLevel="0" collapsed="false">
      <c r="A472" s="6"/>
      <c r="B472" s="10"/>
      <c r="C472" s="16" t="str">
        <f aca="false">IF(B472="","",DATE(YEAR(B472),MONTH(B472),1))</f>
        <v/>
      </c>
      <c r="D472" s="6"/>
      <c r="E472" s="14" t="str">
        <f aca="false">IF(D472="","",IFERROR(INDEX(Pacientes!$Q:$Q,MATCH(D472,Pacientes!$A:$A,0))&amp;"","ID no existe"))</f>
        <v/>
      </c>
      <c r="F472" s="14" t="str">
        <f aca="false">IF(D472="","",IFERROR(INDEX(Pacientes!$D:$D,MATCH(D472,Pacientes!$A:$A,0))&amp;"","ID no existe"))</f>
        <v/>
      </c>
      <c r="G472" s="14" t="str">
        <f aca="false">IF(D472="","",IFERROR(INDEX(Pacientes!$E:$E,MATCH(D472,Pacientes!$A:$A,0))&amp;"","ID no existe"))</f>
        <v/>
      </c>
      <c r="H472" s="9"/>
      <c r="I472" s="6"/>
      <c r="J472" s="6"/>
      <c r="K472" s="6"/>
      <c r="L472" s="7"/>
      <c r="M472" s="7"/>
      <c r="N472" s="6"/>
      <c r="O472" s="6"/>
    </row>
    <row r="473" customFormat="false" ht="15" hidden="false" customHeight="false" outlineLevel="0" collapsed="false">
      <c r="A473" s="6"/>
      <c r="B473" s="10"/>
      <c r="C473" s="16" t="str">
        <f aca="false">IF(B473="","",DATE(YEAR(B473),MONTH(B473),1))</f>
        <v/>
      </c>
      <c r="D473" s="6"/>
      <c r="E473" s="14" t="str">
        <f aca="false">IF(D473="","",IFERROR(INDEX(Pacientes!$Q:$Q,MATCH(D473,Pacientes!$A:$A,0))&amp;"","ID no existe"))</f>
        <v/>
      </c>
      <c r="F473" s="14" t="str">
        <f aca="false">IF(D473="","",IFERROR(INDEX(Pacientes!$D:$D,MATCH(D473,Pacientes!$A:$A,0))&amp;"","ID no existe"))</f>
        <v/>
      </c>
      <c r="G473" s="14" t="str">
        <f aca="false">IF(D473="","",IFERROR(INDEX(Pacientes!$E:$E,MATCH(D473,Pacientes!$A:$A,0))&amp;"","ID no existe"))</f>
        <v/>
      </c>
      <c r="H473" s="9"/>
      <c r="I473" s="6"/>
      <c r="J473" s="6"/>
      <c r="K473" s="6"/>
      <c r="L473" s="7"/>
      <c r="M473" s="7"/>
      <c r="N473" s="6"/>
      <c r="O473" s="6"/>
    </row>
    <row r="474" customFormat="false" ht="15" hidden="false" customHeight="false" outlineLevel="0" collapsed="false">
      <c r="A474" s="6"/>
      <c r="B474" s="10"/>
      <c r="C474" s="16" t="str">
        <f aca="false">IF(B474="","",DATE(YEAR(B474),MONTH(B474),1))</f>
        <v/>
      </c>
      <c r="D474" s="6"/>
      <c r="E474" s="14" t="str">
        <f aca="false">IF(D474="","",IFERROR(INDEX(Pacientes!$Q:$Q,MATCH(D474,Pacientes!$A:$A,0))&amp;"","ID no existe"))</f>
        <v/>
      </c>
      <c r="F474" s="14" t="str">
        <f aca="false">IF(D474="","",IFERROR(INDEX(Pacientes!$D:$D,MATCH(D474,Pacientes!$A:$A,0))&amp;"","ID no existe"))</f>
        <v/>
      </c>
      <c r="G474" s="14" t="str">
        <f aca="false">IF(D474="","",IFERROR(INDEX(Pacientes!$E:$E,MATCH(D474,Pacientes!$A:$A,0))&amp;"","ID no existe"))</f>
        <v/>
      </c>
      <c r="H474" s="9"/>
      <c r="I474" s="6"/>
      <c r="J474" s="6"/>
      <c r="K474" s="6"/>
      <c r="L474" s="7"/>
      <c r="M474" s="7"/>
      <c r="N474" s="6"/>
      <c r="O474" s="6"/>
    </row>
    <row r="475" customFormat="false" ht="15" hidden="false" customHeight="false" outlineLevel="0" collapsed="false">
      <c r="A475" s="6"/>
      <c r="B475" s="10"/>
      <c r="C475" s="16" t="str">
        <f aca="false">IF(B475="","",DATE(YEAR(B475),MONTH(B475),1))</f>
        <v/>
      </c>
      <c r="D475" s="6"/>
      <c r="E475" s="14" t="str">
        <f aca="false">IF(D475="","",IFERROR(INDEX(Pacientes!$Q:$Q,MATCH(D475,Pacientes!$A:$A,0))&amp;"","ID no existe"))</f>
        <v/>
      </c>
      <c r="F475" s="14" t="str">
        <f aca="false">IF(D475="","",IFERROR(INDEX(Pacientes!$D:$D,MATCH(D475,Pacientes!$A:$A,0))&amp;"","ID no existe"))</f>
        <v/>
      </c>
      <c r="G475" s="14" t="str">
        <f aca="false">IF(D475="","",IFERROR(INDEX(Pacientes!$E:$E,MATCH(D475,Pacientes!$A:$A,0))&amp;"","ID no existe"))</f>
        <v/>
      </c>
      <c r="H475" s="9"/>
      <c r="I475" s="6"/>
      <c r="J475" s="6"/>
      <c r="K475" s="6"/>
      <c r="L475" s="7"/>
      <c r="M475" s="7"/>
      <c r="N475" s="6"/>
      <c r="O475" s="6"/>
    </row>
    <row r="476" customFormat="false" ht="15" hidden="false" customHeight="false" outlineLevel="0" collapsed="false">
      <c r="A476" s="6"/>
      <c r="B476" s="10"/>
      <c r="C476" s="16" t="str">
        <f aca="false">IF(B476="","",DATE(YEAR(B476),MONTH(B476),1))</f>
        <v/>
      </c>
      <c r="D476" s="6"/>
      <c r="E476" s="14" t="str">
        <f aca="false">IF(D476="","",IFERROR(INDEX(Pacientes!$Q:$Q,MATCH(D476,Pacientes!$A:$A,0))&amp;"","ID no existe"))</f>
        <v/>
      </c>
      <c r="F476" s="14" t="str">
        <f aca="false">IF(D476="","",IFERROR(INDEX(Pacientes!$D:$D,MATCH(D476,Pacientes!$A:$A,0))&amp;"","ID no existe"))</f>
        <v/>
      </c>
      <c r="G476" s="14" t="str">
        <f aca="false">IF(D476="","",IFERROR(INDEX(Pacientes!$E:$E,MATCH(D476,Pacientes!$A:$A,0))&amp;"","ID no existe"))</f>
        <v/>
      </c>
      <c r="H476" s="9"/>
      <c r="I476" s="6"/>
      <c r="J476" s="6"/>
      <c r="K476" s="6"/>
      <c r="L476" s="7"/>
      <c r="M476" s="7"/>
      <c r="N476" s="6"/>
      <c r="O476" s="6"/>
    </row>
    <row r="477" customFormat="false" ht="15" hidden="false" customHeight="false" outlineLevel="0" collapsed="false">
      <c r="A477" s="6"/>
      <c r="B477" s="10"/>
      <c r="C477" s="16" t="str">
        <f aca="false">IF(B477="","",DATE(YEAR(B477),MONTH(B477),1))</f>
        <v/>
      </c>
      <c r="D477" s="6"/>
      <c r="E477" s="14" t="str">
        <f aca="false">IF(D477="","",IFERROR(INDEX(Pacientes!$Q:$Q,MATCH(D477,Pacientes!$A:$A,0))&amp;"","ID no existe"))</f>
        <v/>
      </c>
      <c r="F477" s="14" t="str">
        <f aca="false">IF(D477="","",IFERROR(INDEX(Pacientes!$D:$D,MATCH(D477,Pacientes!$A:$A,0))&amp;"","ID no existe"))</f>
        <v/>
      </c>
      <c r="G477" s="14" t="str">
        <f aca="false">IF(D477="","",IFERROR(INDEX(Pacientes!$E:$E,MATCH(D477,Pacientes!$A:$A,0))&amp;"","ID no existe"))</f>
        <v/>
      </c>
      <c r="H477" s="9"/>
      <c r="I477" s="6"/>
      <c r="J477" s="6"/>
      <c r="K477" s="6"/>
      <c r="L477" s="7"/>
      <c r="M477" s="7"/>
      <c r="N477" s="6"/>
      <c r="O477" s="6"/>
    </row>
    <row r="478" customFormat="false" ht="15" hidden="false" customHeight="false" outlineLevel="0" collapsed="false">
      <c r="A478" s="6"/>
      <c r="B478" s="10"/>
      <c r="C478" s="16" t="str">
        <f aca="false">IF(B478="","",DATE(YEAR(B478),MONTH(B478),1))</f>
        <v/>
      </c>
      <c r="D478" s="6"/>
      <c r="E478" s="14" t="str">
        <f aca="false">IF(D478="","",IFERROR(INDEX(Pacientes!$Q:$Q,MATCH(D478,Pacientes!$A:$A,0))&amp;"","ID no existe"))</f>
        <v/>
      </c>
      <c r="F478" s="14" t="str">
        <f aca="false">IF(D478="","",IFERROR(INDEX(Pacientes!$D:$D,MATCH(D478,Pacientes!$A:$A,0))&amp;"","ID no existe"))</f>
        <v/>
      </c>
      <c r="G478" s="14" t="str">
        <f aca="false">IF(D478="","",IFERROR(INDEX(Pacientes!$E:$E,MATCH(D478,Pacientes!$A:$A,0))&amp;"","ID no existe"))</f>
        <v/>
      </c>
      <c r="H478" s="9"/>
      <c r="I478" s="6"/>
      <c r="J478" s="6"/>
      <c r="K478" s="6"/>
      <c r="L478" s="7"/>
      <c r="M478" s="7"/>
      <c r="N478" s="6"/>
      <c r="O478" s="6"/>
    </row>
    <row r="479" customFormat="false" ht="15" hidden="false" customHeight="false" outlineLevel="0" collapsed="false">
      <c r="A479" s="6"/>
      <c r="B479" s="10"/>
      <c r="C479" s="16" t="str">
        <f aca="false">IF(B479="","",DATE(YEAR(B479),MONTH(B479),1))</f>
        <v/>
      </c>
      <c r="D479" s="6"/>
      <c r="E479" s="14" t="str">
        <f aca="false">IF(D479="","",IFERROR(INDEX(Pacientes!$Q:$Q,MATCH(D479,Pacientes!$A:$A,0))&amp;"","ID no existe"))</f>
        <v/>
      </c>
      <c r="F479" s="14" t="str">
        <f aca="false">IF(D479="","",IFERROR(INDEX(Pacientes!$D:$D,MATCH(D479,Pacientes!$A:$A,0))&amp;"","ID no existe"))</f>
        <v/>
      </c>
      <c r="G479" s="14" t="str">
        <f aca="false">IF(D479="","",IFERROR(INDEX(Pacientes!$E:$E,MATCH(D479,Pacientes!$A:$A,0))&amp;"","ID no existe"))</f>
        <v/>
      </c>
      <c r="H479" s="9"/>
      <c r="I479" s="6"/>
      <c r="J479" s="6"/>
      <c r="K479" s="6"/>
      <c r="L479" s="7"/>
      <c r="M479" s="7"/>
      <c r="N479" s="6"/>
      <c r="O479" s="6"/>
    </row>
    <row r="480" customFormat="false" ht="15" hidden="false" customHeight="false" outlineLevel="0" collapsed="false">
      <c r="A480" s="6"/>
      <c r="B480" s="10"/>
      <c r="C480" s="16" t="str">
        <f aca="false">IF(B480="","",DATE(YEAR(B480),MONTH(B480),1))</f>
        <v/>
      </c>
      <c r="D480" s="6"/>
      <c r="E480" s="14" t="str">
        <f aca="false">IF(D480="","",IFERROR(INDEX(Pacientes!$Q:$Q,MATCH(D480,Pacientes!$A:$A,0))&amp;"","ID no existe"))</f>
        <v/>
      </c>
      <c r="F480" s="14" t="str">
        <f aca="false">IF(D480="","",IFERROR(INDEX(Pacientes!$D:$D,MATCH(D480,Pacientes!$A:$A,0))&amp;"","ID no existe"))</f>
        <v/>
      </c>
      <c r="G480" s="14" t="str">
        <f aca="false">IF(D480="","",IFERROR(INDEX(Pacientes!$E:$E,MATCH(D480,Pacientes!$A:$A,0))&amp;"","ID no existe"))</f>
        <v/>
      </c>
      <c r="H480" s="9"/>
      <c r="I480" s="6"/>
      <c r="J480" s="6"/>
      <c r="K480" s="6"/>
      <c r="L480" s="7"/>
      <c r="M480" s="7"/>
      <c r="N480" s="6"/>
      <c r="O480" s="6"/>
    </row>
    <row r="481" customFormat="false" ht="15" hidden="false" customHeight="false" outlineLevel="0" collapsed="false">
      <c r="A481" s="6"/>
      <c r="B481" s="10"/>
      <c r="C481" s="16" t="str">
        <f aca="false">IF(B481="","",DATE(YEAR(B481),MONTH(B481),1))</f>
        <v/>
      </c>
      <c r="D481" s="6"/>
      <c r="E481" s="14" t="str">
        <f aca="false">IF(D481="","",IFERROR(INDEX(Pacientes!$Q:$Q,MATCH(D481,Pacientes!$A:$A,0))&amp;"","ID no existe"))</f>
        <v/>
      </c>
      <c r="F481" s="14" t="str">
        <f aca="false">IF(D481="","",IFERROR(INDEX(Pacientes!$D:$D,MATCH(D481,Pacientes!$A:$A,0))&amp;"","ID no existe"))</f>
        <v/>
      </c>
      <c r="G481" s="14" t="str">
        <f aca="false">IF(D481="","",IFERROR(INDEX(Pacientes!$E:$E,MATCH(D481,Pacientes!$A:$A,0))&amp;"","ID no existe"))</f>
        <v/>
      </c>
      <c r="H481" s="9"/>
      <c r="I481" s="6"/>
      <c r="J481" s="6"/>
      <c r="K481" s="6"/>
      <c r="L481" s="7"/>
      <c r="M481" s="7"/>
      <c r="N481" s="6"/>
      <c r="O481" s="6"/>
    </row>
    <row r="482" customFormat="false" ht="15" hidden="false" customHeight="false" outlineLevel="0" collapsed="false">
      <c r="A482" s="6"/>
      <c r="B482" s="10"/>
      <c r="C482" s="16" t="str">
        <f aca="false">IF(B482="","",DATE(YEAR(B482),MONTH(B482),1))</f>
        <v/>
      </c>
      <c r="D482" s="6"/>
      <c r="E482" s="14" t="str">
        <f aca="false">IF(D482="","",IFERROR(INDEX(Pacientes!$Q:$Q,MATCH(D482,Pacientes!$A:$A,0))&amp;"","ID no existe"))</f>
        <v/>
      </c>
      <c r="F482" s="14" t="str">
        <f aca="false">IF(D482="","",IFERROR(INDEX(Pacientes!$D:$D,MATCH(D482,Pacientes!$A:$A,0))&amp;"","ID no existe"))</f>
        <v/>
      </c>
      <c r="G482" s="14" t="str">
        <f aca="false">IF(D482="","",IFERROR(INDEX(Pacientes!$E:$E,MATCH(D482,Pacientes!$A:$A,0))&amp;"","ID no existe"))</f>
        <v/>
      </c>
      <c r="H482" s="9"/>
      <c r="I482" s="6"/>
      <c r="J482" s="6"/>
      <c r="K482" s="6"/>
      <c r="L482" s="7"/>
      <c r="M482" s="7"/>
      <c r="N482" s="6"/>
      <c r="O482" s="6"/>
    </row>
    <row r="483" customFormat="false" ht="15" hidden="false" customHeight="false" outlineLevel="0" collapsed="false">
      <c r="A483" s="6"/>
      <c r="B483" s="10"/>
      <c r="C483" s="16" t="str">
        <f aca="false">IF(B483="","",DATE(YEAR(B483),MONTH(B483),1))</f>
        <v/>
      </c>
      <c r="D483" s="6"/>
      <c r="E483" s="14" t="str">
        <f aca="false">IF(D483="","",IFERROR(INDEX(Pacientes!$Q:$Q,MATCH(D483,Pacientes!$A:$A,0))&amp;"","ID no existe"))</f>
        <v/>
      </c>
      <c r="F483" s="14" t="str">
        <f aca="false">IF(D483="","",IFERROR(INDEX(Pacientes!$D:$D,MATCH(D483,Pacientes!$A:$A,0))&amp;"","ID no existe"))</f>
        <v/>
      </c>
      <c r="G483" s="14" t="str">
        <f aca="false">IF(D483="","",IFERROR(INDEX(Pacientes!$E:$E,MATCH(D483,Pacientes!$A:$A,0))&amp;"","ID no existe"))</f>
        <v/>
      </c>
      <c r="H483" s="9"/>
      <c r="I483" s="6"/>
      <c r="J483" s="6"/>
      <c r="K483" s="6"/>
      <c r="L483" s="7"/>
      <c r="M483" s="7"/>
      <c r="N483" s="6"/>
      <c r="O483" s="6"/>
    </row>
    <row r="484" customFormat="false" ht="15" hidden="false" customHeight="false" outlineLevel="0" collapsed="false">
      <c r="A484" s="6"/>
      <c r="B484" s="10"/>
      <c r="C484" s="16" t="str">
        <f aca="false">IF(B484="","",DATE(YEAR(B484),MONTH(B484),1))</f>
        <v/>
      </c>
      <c r="D484" s="6"/>
      <c r="E484" s="14" t="str">
        <f aca="false">IF(D484="","",IFERROR(INDEX(Pacientes!$Q:$Q,MATCH(D484,Pacientes!$A:$A,0))&amp;"","ID no existe"))</f>
        <v/>
      </c>
      <c r="F484" s="14" t="str">
        <f aca="false">IF(D484="","",IFERROR(INDEX(Pacientes!$D:$D,MATCH(D484,Pacientes!$A:$A,0))&amp;"","ID no existe"))</f>
        <v/>
      </c>
      <c r="G484" s="14" t="str">
        <f aca="false">IF(D484="","",IFERROR(INDEX(Pacientes!$E:$E,MATCH(D484,Pacientes!$A:$A,0))&amp;"","ID no existe"))</f>
        <v/>
      </c>
      <c r="H484" s="9"/>
      <c r="I484" s="6"/>
      <c r="J484" s="6"/>
      <c r="K484" s="6"/>
      <c r="L484" s="7"/>
      <c r="M484" s="7"/>
      <c r="N484" s="6"/>
      <c r="O484" s="6"/>
    </row>
    <row r="485" customFormat="false" ht="15" hidden="false" customHeight="false" outlineLevel="0" collapsed="false">
      <c r="A485" s="6"/>
      <c r="B485" s="10"/>
      <c r="C485" s="16" t="str">
        <f aca="false">IF(B485="","",DATE(YEAR(B485),MONTH(B485),1))</f>
        <v/>
      </c>
      <c r="D485" s="6"/>
      <c r="E485" s="14" t="str">
        <f aca="false">IF(D485="","",IFERROR(INDEX(Pacientes!$Q:$Q,MATCH(D485,Pacientes!$A:$A,0))&amp;"","ID no existe"))</f>
        <v/>
      </c>
      <c r="F485" s="14" t="str">
        <f aca="false">IF(D485="","",IFERROR(INDEX(Pacientes!$D:$D,MATCH(D485,Pacientes!$A:$A,0))&amp;"","ID no existe"))</f>
        <v/>
      </c>
      <c r="G485" s="14" t="str">
        <f aca="false">IF(D485="","",IFERROR(INDEX(Pacientes!$E:$E,MATCH(D485,Pacientes!$A:$A,0))&amp;"","ID no existe"))</f>
        <v/>
      </c>
      <c r="H485" s="9"/>
      <c r="I485" s="6"/>
      <c r="J485" s="6"/>
      <c r="K485" s="6"/>
      <c r="L485" s="7"/>
      <c r="M485" s="7"/>
      <c r="N485" s="6"/>
      <c r="O485" s="6"/>
    </row>
    <row r="486" customFormat="false" ht="15" hidden="false" customHeight="false" outlineLevel="0" collapsed="false">
      <c r="A486" s="6"/>
      <c r="B486" s="10"/>
      <c r="C486" s="16" t="str">
        <f aca="false">IF(B486="","",DATE(YEAR(B486),MONTH(B486),1))</f>
        <v/>
      </c>
      <c r="D486" s="6"/>
      <c r="E486" s="14" t="str">
        <f aca="false">IF(D486="","",IFERROR(INDEX(Pacientes!$Q:$Q,MATCH(D486,Pacientes!$A:$A,0))&amp;"","ID no existe"))</f>
        <v/>
      </c>
      <c r="F486" s="14" t="str">
        <f aca="false">IF(D486="","",IFERROR(INDEX(Pacientes!$D:$D,MATCH(D486,Pacientes!$A:$A,0))&amp;"","ID no existe"))</f>
        <v/>
      </c>
      <c r="G486" s="14" t="str">
        <f aca="false">IF(D486="","",IFERROR(INDEX(Pacientes!$E:$E,MATCH(D486,Pacientes!$A:$A,0))&amp;"","ID no existe"))</f>
        <v/>
      </c>
      <c r="H486" s="9"/>
      <c r="I486" s="6"/>
      <c r="J486" s="6"/>
      <c r="K486" s="6"/>
      <c r="L486" s="7"/>
      <c r="M486" s="7"/>
      <c r="N486" s="6"/>
      <c r="O486" s="6"/>
    </row>
    <row r="487" customFormat="false" ht="15" hidden="false" customHeight="false" outlineLevel="0" collapsed="false">
      <c r="A487" s="6"/>
      <c r="B487" s="10"/>
      <c r="C487" s="16" t="str">
        <f aca="false">IF(B487="","",DATE(YEAR(B487),MONTH(B487),1))</f>
        <v/>
      </c>
      <c r="D487" s="6"/>
      <c r="E487" s="14" t="str">
        <f aca="false">IF(D487="","",IFERROR(INDEX(Pacientes!$Q:$Q,MATCH(D487,Pacientes!$A:$A,0))&amp;"","ID no existe"))</f>
        <v/>
      </c>
      <c r="F487" s="14" t="str">
        <f aca="false">IF(D487="","",IFERROR(INDEX(Pacientes!$D:$D,MATCH(D487,Pacientes!$A:$A,0))&amp;"","ID no existe"))</f>
        <v/>
      </c>
      <c r="G487" s="14" t="str">
        <f aca="false">IF(D487="","",IFERROR(INDEX(Pacientes!$E:$E,MATCH(D487,Pacientes!$A:$A,0))&amp;"","ID no existe"))</f>
        <v/>
      </c>
      <c r="H487" s="9"/>
      <c r="I487" s="6"/>
      <c r="J487" s="6"/>
      <c r="K487" s="6"/>
      <c r="L487" s="7"/>
      <c r="M487" s="7"/>
      <c r="N487" s="6"/>
      <c r="O487" s="6"/>
    </row>
    <row r="488" customFormat="false" ht="15" hidden="false" customHeight="false" outlineLevel="0" collapsed="false">
      <c r="A488" s="6"/>
      <c r="B488" s="10"/>
      <c r="C488" s="16" t="str">
        <f aca="false">IF(B488="","",DATE(YEAR(B488),MONTH(B488),1))</f>
        <v/>
      </c>
      <c r="D488" s="6"/>
      <c r="E488" s="14" t="str">
        <f aca="false">IF(D488="","",IFERROR(INDEX(Pacientes!$Q:$Q,MATCH(D488,Pacientes!$A:$A,0))&amp;"","ID no existe"))</f>
        <v/>
      </c>
      <c r="F488" s="14" t="str">
        <f aca="false">IF(D488="","",IFERROR(INDEX(Pacientes!$D:$D,MATCH(D488,Pacientes!$A:$A,0))&amp;"","ID no existe"))</f>
        <v/>
      </c>
      <c r="G488" s="14" t="str">
        <f aca="false">IF(D488="","",IFERROR(INDEX(Pacientes!$E:$E,MATCH(D488,Pacientes!$A:$A,0))&amp;"","ID no existe"))</f>
        <v/>
      </c>
      <c r="H488" s="9"/>
      <c r="I488" s="6"/>
      <c r="J488" s="6"/>
      <c r="K488" s="6"/>
      <c r="L488" s="7"/>
      <c r="M488" s="7"/>
      <c r="N488" s="6"/>
      <c r="O488" s="6"/>
    </row>
    <row r="489" customFormat="false" ht="15" hidden="false" customHeight="false" outlineLevel="0" collapsed="false">
      <c r="A489" s="6"/>
      <c r="B489" s="10"/>
      <c r="C489" s="16" t="str">
        <f aca="false">IF(B489="","",DATE(YEAR(B489),MONTH(B489),1))</f>
        <v/>
      </c>
      <c r="D489" s="6"/>
      <c r="E489" s="14" t="str">
        <f aca="false">IF(D489="","",IFERROR(INDEX(Pacientes!$Q:$Q,MATCH(D489,Pacientes!$A:$A,0))&amp;"","ID no existe"))</f>
        <v/>
      </c>
      <c r="F489" s="14" t="str">
        <f aca="false">IF(D489="","",IFERROR(INDEX(Pacientes!$D:$D,MATCH(D489,Pacientes!$A:$A,0))&amp;"","ID no existe"))</f>
        <v/>
      </c>
      <c r="G489" s="14" t="str">
        <f aca="false">IF(D489="","",IFERROR(INDEX(Pacientes!$E:$E,MATCH(D489,Pacientes!$A:$A,0))&amp;"","ID no existe"))</f>
        <v/>
      </c>
      <c r="H489" s="9"/>
      <c r="I489" s="6"/>
      <c r="J489" s="6"/>
      <c r="K489" s="6"/>
      <c r="L489" s="7"/>
      <c r="M489" s="7"/>
      <c r="N489" s="6"/>
      <c r="O489" s="6"/>
    </row>
    <row r="490" customFormat="false" ht="15" hidden="false" customHeight="false" outlineLevel="0" collapsed="false">
      <c r="A490" s="6"/>
      <c r="B490" s="10"/>
      <c r="C490" s="16" t="str">
        <f aca="false">IF(B490="","",DATE(YEAR(B490),MONTH(B490),1))</f>
        <v/>
      </c>
      <c r="D490" s="6"/>
      <c r="E490" s="14" t="str">
        <f aca="false">IF(D490="","",IFERROR(INDEX(Pacientes!$Q:$Q,MATCH(D490,Pacientes!$A:$A,0))&amp;"","ID no existe"))</f>
        <v/>
      </c>
      <c r="F490" s="14" t="str">
        <f aca="false">IF(D490="","",IFERROR(INDEX(Pacientes!$D:$D,MATCH(D490,Pacientes!$A:$A,0))&amp;"","ID no existe"))</f>
        <v/>
      </c>
      <c r="G490" s="14" t="str">
        <f aca="false">IF(D490="","",IFERROR(INDEX(Pacientes!$E:$E,MATCH(D490,Pacientes!$A:$A,0))&amp;"","ID no existe"))</f>
        <v/>
      </c>
      <c r="H490" s="9"/>
      <c r="I490" s="6"/>
      <c r="J490" s="6"/>
      <c r="K490" s="6"/>
      <c r="L490" s="7"/>
      <c r="M490" s="7"/>
      <c r="N490" s="6"/>
      <c r="O490" s="6"/>
    </row>
    <row r="491" customFormat="false" ht="15" hidden="false" customHeight="false" outlineLevel="0" collapsed="false">
      <c r="A491" s="6"/>
      <c r="B491" s="10"/>
      <c r="C491" s="16" t="str">
        <f aca="false">IF(B491="","",DATE(YEAR(B491),MONTH(B491),1))</f>
        <v/>
      </c>
      <c r="D491" s="6"/>
      <c r="E491" s="14" t="str">
        <f aca="false">IF(D491="","",IFERROR(INDEX(Pacientes!$Q:$Q,MATCH(D491,Pacientes!$A:$A,0))&amp;"","ID no existe"))</f>
        <v/>
      </c>
      <c r="F491" s="14" t="str">
        <f aca="false">IF(D491="","",IFERROR(INDEX(Pacientes!$D:$D,MATCH(D491,Pacientes!$A:$A,0))&amp;"","ID no existe"))</f>
        <v/>
      </c>
      <c r="G491" s="14" t="str">
        <f aca="false">IF(D491="","",IFERROR(INDEX(Pacientes!$E:$E,MATCH(D491,Pacientes!$A:$A,0))&amp;"","ID no existe"))</f>
        <v/>
      </c>
      <c r="H491" s="9"/>
      <c r="I491" s="6"/>
      <c r="J491" s="6"/>
      <c r="K491" s="6"/>
      <c r="L491" s="7"/>
      <c r="M491" s="7"/>
      <c r="N491" s="6"/>
      <c r="O491" s="6"/>
    </row>
    <row r="492" customFormat="false" ht="15" hidden="false" customHeight="false" outlineLevel="0" collapsed="false">
      <c r="A492" s="6"/>
      <c r="B492" s="10"/>
      <c r="C492" s="16" t="str">
        <f aca="false">IF(B492="","",DATE(YEAR(B492),MONTH(B492),1))</f>
        <v/>
      </c>
      <c r="D492" s="6"/>
      <c r="E492" s="14" t="str">
        <f aca="false">IF(D492="","",IFERROR(INDEX(Pacientes!$Q:$Q,MATCH(D492,Pacientes!$A:$A,0))&amp;"","ID no existe"))</f>
        <v/>
      </c>
      <c r="F492" s="14" t="str">
        <f aca="false">IF(D492="","",IFERROR(INDEX(Pacientes!$D:$D,MATCH(D492,Pacientes!$A:$A,0))&amp;"","ID no existe"))</f>
        <v/>
      </c>
      <c r="G492" s="14" t="str">
        <f aca="false">IF(D492="","",IFERROR(INDEX(Pacientes!$E:$E,MATCH(D492,Pacientes!$A:$A,0))&amp;"","ID no existe"))</f>
        <v/>
      </c>
      <c r="H492" s="9"/>
      <c r="I492" s="6"/>
      <c r="J492" s="6"/>
      <c r="K492" s="6"/>
      <c r="L492" s="7"/>
      <c r="M492" s="7"/>
      <c r="N492" s="6"/>
      <c r="O492" s="6"/>
    </row>
    <row r="493" customFormat="false" ht="15" hidden="false" customHeight="false" outlineLevel="0" collapsed="false">
      <c r="A493" s="6"/>
      <c r="B493" s="10"/>
      <c r="C493" s="16" t="str">
        <f aca="false">IF(B493="","",DATE(YEAR(B493),MONTH(B493),1))</f>
        <v/>
      </c>
      <c r="D493" s="6"/>
      <c r="E493" s="14" t="str">
        <f aca="false">IF(D493="","",IFERROR(INDEX(Pacientes!$Q:$Q,MATCH(D493,Pacientes!$A:$A,0))&amp;"","ID no existe"))</f>
        <v/>
      </c>
      <c r="F493" s="14" t="str">
        <f aca="false">IF(D493="","",IFERROR(INDEX(Pacientes!$D:$D,MATCH(D493,Pacientes!$A:$A,0))&amp;"","ID no existe"))</f>
        <v/>
      </c>
      <c r="G493" s="14" t="str">
        <f aca="false">IF(D493="","",IFERROR(INDEX(Pacientes!$E:$E,MATCH(D493,Pacientes!$A:$A,0))&amp;"","ID no existe"))</f>
        <v/>
      </c>
      <c r="H493" s="9"/>
      <c r="I493" s="6"/>
      <c r="J493" s="6"/>
      <c r="K493" s="6"/>
      <c r="L493" s="7"/>
      <c r="M493" s="7"/>
      <c r="N493" s="6"/>
      <c r="O493" s="6"/>
    </row>
    <row r="494" customFormat="false" ht="15" hidden="false" customHeight="false" outlineLevel="0" collapsed="false">
      <c r="A494" s="6"/>
      <c r="B494" s="10"/>
      <c r="C494" s="16" t="str">
        <f aca="false">IF(B494="","",DATE(YEAR(B494),MONTH(B494),1))</f>
        <v/>
      </c>
      <c r="D494" s="6"/>
      <c r="E494" s="14" t="str">
        <f aca="false">IF(D494="","",IFERROR(INDEX(Pacientes!$Q:$Q,MATCH(D494,Pacientes!$A:$A,0))&amp;"","ID no existe"))</f>
        <v/>
      </c>
      <c r="F494" s="14" t="str">
        <f aca="false">IF(D494="","",IFERROR(INDEX(Pacientes!$D:$D,MATCH(D494,Pacientes!$A:$A,0))&amp;"","ID no existe"))</f>
        <v/>
      </c>
      <c r="G494" s="14" t="str">
        <f aca="false">IF(D494="","",IFERROR(INDEX(Pacientes!$E:$E,MATCH(D494,Pacientes!$A:$A,0))&amp;"","ID no existe"))</f>
        <v/>
      </c>
      <c r="H494" s="9"/>
      <c r="I494" s="6"/>
      <c r="J494" s="6"/>
      <c r="K494" s="6"/>
      <c r="L494" s="7"/>
      <c r="M494" s="7"/>
      <c r="N494" s="6"/>
      <c r="O494" s="6"/>
    </row>
    <row r="495" customFormat="false" ht="15" hidden="false" customHeight="false" outlineLevel="0" collapsed="false">
      <c r="A495" s="6"/>
      <c r="B495" s="10"/>
      <c r="C495" s="16" t="str">
        <f aca="false">IF(B495="","",DATE(YEAR(B495),MONTH(B495),1))</f>
        <v/>
      </c>
      <c r="D495" s="6"/>
      <c r="E495" s="14" t="str">
        <f aca="false">IF(D495="","",IFERROR(INDEX(Pacientes!$Q:$Q,MATCH(D495,Pacientes!$A:$A,0))&amp;"","ID no existe"))</f>
        <v/>
      </c>
      <c r="F495" s="14" t="str">
        <f aca="false">IF(D495="","",IFERROR(INDEX(Pacientes!$D:$D,MATCH(D495,Pacientes!$A:$A,0))&amp;"","ID no existe"))</f>
        <v/>
      </c>
      <c r="G495" s="14" t="str">
        <f aca="false">IF(D495="","",IFERROR(INDEX(Pacientes!$E:$E,MATCH(D495,Pacientes!$A:$A,0))&amp;"","ID no existe"))</f>
        <v/>
      </c>
      <c r="H495" s="9"/>
      <c r="I495" s="6"/>
      <c r="J495" s="6"/>
      <c r="K495" s="6"/>
      <c r="L495" s="7"/>
      <c r="M495" s="7"/>
      <c r="N495" s="6"/>
      <c r="O495" s="6"/>
    </row>
    <row r="496" customFormat="false" ht="15" hidden="false" customHeight="false" outlineLevel="0" collapsed="false">
      <c r="A496" s="6"/>
      <c r="B496" s="10"/>
      <c r="C496" s="16" t="str">
        <f aca="false">IF(B496="","",DATE(YEAR(B496),MONTH(B496),1))</f>
        <v/>
      </c>
      <c r="D496" s="6"/>
      <c r="E496" s="14" t="str">
        <f aca="false">IF(D496="","",IFERROR(INDEX(Pacientes!$Q:$Q,MATCH(D496,Pacientes!$A:$A,0))&amp;"","ID no existe"))</f>
        <v/>
      </c>
      <c r="F496" s="14" t="str">
        <f aca="false">IF(D496="","",IFERROR(INDEX(Pacientes!$D:$D,MATCH(D496,Pacientes!$A:$A,0))&amp;"","ID no existe"))</f>
        <v/>
      </c>
      <c r="G496" s="14" t="str">
        <f aca="false">IF(D496="","",IFERROR(INDEX(Pacientes!$E:$E,MATCH(D496,Pacientes!$A:$A,0))&amp;"","ID no existe"))</f>
        <v/>
      </c>
      <c r="H496" s="9"/>
      <c r="I496" s="6"/>
      <c r="J496" s="6"/>
      <c r="K496" s="6"/>
      <c r="L496" s="7"/>
      <c r="M496" s="7"/>
      <c r="N496" s="6"/>
      <c r="O496" s="6"/>
    </row>
    <row r="497" customFormat="false" ht="15" hidden="false" customHeight="false" outlineLevel="0" collapsed="false">
      <c r="A497" s="6"/>
      <c r="B497" s="10"/>
      <c r="C497" s="16" t="str">
        <f aca="false">IF(B497="","",DATE(YEAR(B497),MONTH(B497),1))</f>
        <v/>
      </c>
      <c r="D497" s="6"/>
      <c r="E497" s="14" t="str">
        <f aca="false">IF(D497="","",IFERROR(INDEX(Pacientes!$Q:$Q,MATCH(D497,Pacientes!$A:$A,0))&amp;"","ID no existe"))</f>
        <v/>
      </c>
      <c r="F497" s="14" t="str">
        <f aca="false">IF(D497="","",IFERROR(INDEX(Pacientes!$D:$D,MATCH(D497,Pacientes!$A:$A,0))&amp;"","ID no existe"))</f>
        <v/>
      </c>
      <c r="G497" s="14" t="str">
        <f aca="false">IF(D497="","",IFERROR(INDEX(Pacientes!$E:$E,MATCH(D497,Pacientes!$A:$A,0))&amp;"","ID no existe"))</f>
        <v/>
      </c>
      <c r="H497" s="9"/>
      <c r="I497" s="6"/>
      <c r="J497" s="6"/>
      <c r="K497" s="6"/>
      <c r="L497" s="7"/>
      <c r="M497" s="7"/>
      <c r="N497" s="6"/>
      <c r="O497" s="6"/>
    </row>
    <row r="498" customFormat="false" ht="15" hidden="false" customHeight="false" outlineLevel="0" collapsed="false">
      <c r="A498" s="6"/>
      <c r="B498" s="10"/>
      <c r="C498" s="16" t="str">
        <f aca="false">IF(B498="","",DATE(YEAR(B498),MONTH(B498),1))</f>
        <v/>
      </c>
      <c r="D498" s="6"/>
      <c r="E498" s="14" t="str">
        <f aca="false">IF(D498="","",IFERROR(INDEX(Pacientes!$Q:$Q,MATCH(D498,Pacientes!$A:$A,0))&amp;"","ID no existe"))</f>
        <v/>
      </c>
      <c r="F498" s="14" t="str">
        <f aca="false">IF(D498="","",IFERROR(INDEX(Pacientes!$D:$D,MATCH(D498,Pacientes!$A:$A,0))&amp;"","ID no existe"))</f>
        <v/>
      </c>
      <c r="G498" s="14" t="str">
        <f aca="false">IF(D498="","",IFERROR(INDEX(Pacientes!$E:$E,MATCH(D498,Pacientes!$A:$A,0))&amp;"","ID no existe"))</f>
        <v/>
      </c>
      <c r="H498" s="9"/>
      <c r="I498" s="6"/>
      <c r="J498" s="6"/>
      <c r="K498" s="6"/>
      <c r="L498" s="7"/>
      <c r="M498" s="7"/>
      <c r="N498" s="6"/>
      <c r="O498" s="6"/>
    </row>
    <row r="499" customFormat="false" ht="15" hidden="false" customHeight="false" outlineLevel="0" collapsed="false">
      <c r="A499" s="6"/>
      <c r="B499" s="10"/>
      <c r="C499" s="16" t="str">
        <f aca="false">IF(B499="","",DATE(YEAR(B499),MONTH(B499),1))</f>
        <v/>
      </c>
      <c r="D499" s="6"/>
      <c r="E499" s="14" t="str">
        <f aca="false">IF(D499="","",IFERROR(INDEX(Pacientes!$Q:$Q,MATCH(D499,Pacientes!$A:$A,0))&amp;"","ID no existe"))</f>
        <v/>
      </c>
      <c r="F499" s="14" t="str">
        <f aca="false">IF(D499="","",IFERROR(INDEX(Pacientes!$D:$D,MATCH(D499,Pacientes!$A:$A,0))&amp;"","ID no existe"))</f>
        <v/>
      </c>
      <c r="G499" s="14" t="str">
        <f aca="false">IF(D499="","",IFERROR(INDEX(Pacientes!$E:$E,MATCH(D499,Pacientes!$A:$A,0))&amp;"","ID no existe"))</f>
        <v/>
      </c>
      <c r="H499" s="9"/>
      <c r="I499" s="6"/>
      <c r="J499" s="6"/>
      <c r="K499" s="6"/>
      <c r="L499" s="7"/>
      <c r="M499" s="7"/>
      <c r="N499" s="6"/>
      <c r="O499" s="6"/>
    </row>
    <row r="500" customFormat="false" ht="15" hidden="false" customHeight="false" outlineLevel="0" collapsed="false">
      <c r="A500" s="6"/>
      <c r="B500" s="10"/>
      <c r="C500" s="16" t="str">
        <f aca="false">IF(B500="","",DATE(YEAR(B500),MONTH(B500),1))</f>
        <v/>
      </c>
      <c r="D500" s="6"/>
      <c r="E500" s="14" t="str">
        <f aca="false">IF(D500="","",IFERROR(INDEX(Pacientes!$Q:$Q,MATCH(D500,Pacientes!$A:$A,0))&amp;"","ID no existe"))</f>
        <v/>
      </c>
      <c r="F500" s="14" t="str">
        <f aca="false">IF(D500="","",IFERROR(INDEX(Pacientes!$D:$D,MATCH(D500,Pacientes!$A:$A,0))&amp;"","ID no existe"))</f>
        <v/>
      </c>
      <c r="G500" s="14" t="str">
        <f aca="false">IF(D500="","",IFERROR(INDEX(Pacientes!$E:$E,MATCH(D500,Pacientes!$A:$A,0))&amp;"","ID no existe"))</f>
        <v/>
      </c>
      <c r="H500" s="9"/>
      <c r="I500" s="6"/>
      <c r="J500" s="6"/>
      <c r="K500" s="6"/>
      <c r="L500" s="7"/>
      <c r="M500" s="7"/>
      <c r="N500" s="6"/>
      <c r="O500" s="6"/>
    </row>
    <row r="501" customFormat="false" ht="15" hidden="false" customHeight="false" outlineLevel="0" collapsed="false">
      <c r="A501" s="6"/>
      <c r="B501" s="10"/>
      <c r="C501" s="16" t="str">
        <f aca="false">IF(B501="","",DATE(YEAR(B501),MONTH(B501),1))</f>
        <v/>
      </c>
      <c r="D501" s="6"/>
      <c r="E501" s="14" t="str">
        <f aca="false">IF(D501="","",IFERROR(INDEX(Pacientes!$Q:$Q,MATCH(D501,Pacientes!$A:$A,0))&amp;"","ID no existe"))</f>
        <v/>
      </c>
      <c r="F501" s="14" t="str">
        <f aca="false">IF(D501="","",IFERROR(INDEX(Pacientes!$D:$D,MATCH(D501,Pacientes!$A:$A,0))&amp;"","ID no existe"))</f>
        <v/>
      </c>
      <c r="G501" s="14" t="str">
        <f aca="false">IF(D501="","",IFERROR(INDEX(Pacientes!$E:$E,MATCH(D501,Pacientes!$A:$A,0))&amp;"","ID no existe"))</f>
        <v/>
      </c>
      <c r="H501" s="9"/>
      <c r="I501" s="6"/>
      <c r="J501" s="6"/>
      <c r="K501" s="6"/>
      <c r="L501" s="7"/>
      <c r="M501" s="7"/>
      <c r="N501" s="6"/>
      <c r="O501" s="6"/>
    </row>
  </sheetData>
  <dataValidations count="4">
    <dataValidation allowBlank="true" error="Elegí un valor de la lista (ID paciente)." errorStyle="stop" errorTitle="Valor no válido" operator="between" showDropDown="false" showErrorMessage="false" showInputMessage="false" sqref="D2:D501" type="list">
      <formula1>Pacientes!$A$2:$A$501</formula1>
      <formula2>0</formula2>
    </dataValidation>
    <dataValidation allowBlank="true" error="Elegí un valor de la lista (moneda)." errorStyle="stop" errorTitle="Valor no válido" operator="between" showDropDown="false" showErrorMessage="false" showInputMessage="false" sqref="I2:I501" type="list">
      <formula1>Listas!$A$2:$A$3</formula1>
      <formula2>0</formula2>
    </dataValidation>
    <dataValidation allowBlank="true" error="Elegí un valor de la lista (medio)." errorStyle="stop" errorTitle="Valor no válido" operator="between" showDropDown="false" showErrorMessage="false" showInputMessage="false" sqref="J2:J501" type="list">
      <formula1>Listas!$B$2:$B$5</formula1>
      <formula2>0</formula2>
    </dataValidation>
    <dataValidation allowBlank="true" error="Elegí un valor de la lista (comprobante)." errorStyle="stop" errorTitle="Valor no válido" operator="between" showDropDown="false" showErrorMessage="false" showInputMessage="false" sqref="K2:K501" type="list">
      <formula1>Listas!$G$2:$G$4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7" min="2" style="0" width="15"/>
    <col collapsed="false" customWidth="true" hidden="false" outlineLevel="0" max="8" min="8" style="0" width="14"/>
    <col collapsed="false" customWidth="true" hidden="false" outlineLevel="0" max="10" min="9" style="0" width="16"/>
    <col collapsed="false" customWidth="true" hidden="false" outlineLevel="0" max="11" min="11" style="0" width="12"/>
    <col collapsed="false" customWidth="true" hidden="false" outlineLevel="0" max="12" min="12" style="0" width="10"/>
    <col collapsed="false" customWidth="true" hidden="false" outlineLevel="0" max="14" min="13" style="0" width="18"/>
  </cols>
  <sheetData>
    <row r="1" customFormat="false" ht="16.15" hidden="false" customHeight="false" outlineLevel="0" collapsed="false">
      <c r="A1" s="4" t="s">
        <v>88</v>
      </c>
    </row>
    <row r="2" customFormat="false" ht="15" hidden="false" customHeight="false" outlineLevel="0" collapsed="false">
      <c r="A2" s="17" t="s">
        <v>89</v>
      </c>
      <c r="B2" s="18" t="n">
        <f aca="false">Profesional!B16</f>
        <v>2026</v>
      </c>
    </row>
    <row r="4" customFormat="false" ht="31.5" hidden="false" customHeight="true" outlineLevel="0" collapsed="false">
      <c r="A4" s="8" t="s">
        <v>69</v>
      </c>
      <c r="B4" s="8" t="s">
        <v>90</v>
      </c>
      <c r="C4" s="8" t="s">
        <v>91</v>
      </c>
      <c r="D4" s="8" t="s">
        <v>92</v>
      </c>
      <c r="E4" s="8" t="s">
        <v>93</v>
      </c>
      <c r="F4" s="8" t="s">
        <v>94</v>
      </c>
      <c r="G4" s="8" t="s">
        <v>95</v>
      </c>
      <c r="H4" s="8" t="s">
        <v>96</v>
      </c>
      <c r="I4" s="8" t="s">
        <v>97</v>
      </c>
      <c r="J4" s="8" t="s">
        <v>98</v>
      </c>
      <c r="K4" s="8" t="s">
        <v>99</v>
      </c>
      <c r="L4" s="8" t="s">
        <v>100</v>
      </c>
      <c r="M4" s="8" t="s">
        <v>101</v>
      </c>
      <c r="N4" s="8" t="s">
        <v>102</v>
      </c>
    </row>
    <row r="5" customFormat="false" ht="15" hidden="false" customHeight="false" outlineLevel="0" collapsed="false">
      <c r="A5" s="19" t="n">
        <f aca="false">DATE($B$2,1,1)</f>
        <v>46023</v>
      </c>
      <c r="B5" s="20" t="n">
        <f aca="false">SUMIFS(Pagos!$H:$H,Pagos!$C:$C,"&gt;="&amp;A5,Pagos!$C:$C,"&lt;"&amp;DATE($B$2,1+1,1),Pagos!$I:$I,"ARS")</f>
        <v>0</v>
      </c>
      <c r="C5" s="21" t="n">
        <f aca="false">SUMIFS(Pagos!$H:$H,Pagos!$C:$C,"&gt;="&amp;A5,Pagos!$C:$C,"&lt;"&amp;DATE($B$2,1+1,1),Pagos!$I:$I,"USD")</f>
        <v>0</v>
      </c>
      <c r="D5" s="20" t="n">
        <f aca="false">SUMIFS(Pagos!$H:$H,Pagos!$C:$C,"&gt;="&amp;A5,Pagos!$C:$C,"&lt;"&amp;DATE($B$2,1+1,1),Pagos!$I:$I,"ARS",Pagos!$K:$K,"Factura C")</f>
        <v>0</v>
      </c>
      <c r="E5" s="21" t="n">
        <f aca="false">SUMIFS(Pagos!$H:$H,Pagos!$C:$C,"&gt;="&amp;A5,Pagos!$C:$C,"&lt;"&amp;DATE($B$2,1+1,1),Pagos!$I:$I,"USD",Pagos!$K:$K,"Factura C")</f>
        <v>0</v>
      </c>
      <c r="F5" s="20" t="n">
        <f aca="false">B5-D5</f>
        <v>0</v>
      </c>
      <c r="G5" s="21" t="n">
        <f aca="false">C5-E5</f>
        <v>0</v>
      </c>
      <c r="H5" s="20" t="n">
        <f aca="false">SUMIFS(Pagos!$H:$H,Pagos!$C:$C,"&gt;="&amp;A5,Pagos!$C:$C,"&lt;"&amp;DATE($B$2,1+1,1),Pagos!$I:$I,"ARS",Pagos!$J:$J,"Efectivo")</f>
        <v>0</v>
      </c>
      <c r="I5" s="20" t="n">
        <f aca="false">SUMIFS(Pagos!$H:$H,Pagos!$C:$C,"&gt;="&amp;A5,Pagos!$C:$C,"&lt;"&amp;DATE($B$2,1+1,1),Pagos!$I:$I,"ARS",Pagos!$J:$J,"Transferencia")</f>
        <v>0</v>
      </c>
      <c r="J5" s="20" t="n">
        <f aca="false">SUMIFS(Pagos!$H:$H,Pagos!$C:$C,"&gt;="&amp;A5,Pagos!$C:$C,"&lt;"&amp;DATE($B$2,1+1,1),Pagos!$I:$I,"ARS",Pagos!$J:$J,"MercadoPago")</f>
        <v>0</v>
      </c>
      <c r="K5" s="20" t="n">
        <f aca="false">SUMIFS(Pagos!$H:$H,Pagos!$C:$C,"&gt;="&amp;A5,Pagos!$C:$C,"&lt;"&amp;DATE($B$2,1+1,1),Pagos!$I:$I,"ARS",Pagos!$J:$J,"Otro")</f>
        <v>0</v>
      </c>
      <c r="L5" s="22" t="n">
        <f aca="false">COUNTIFS(Sesiones!$E:$E,"&gt;="&amp;A5,Sesiones!$E:$E,"&lt;"&amp;DATE($B$2,1+1,1))</f>
        <v>0</v>
      </c>
      <c r="M5" s="20" t="n">
        <f aca="false">SUMIFS(Sesiones!$F:$F,Sesiones!$E:$E,"&gt;="&amp;A5,Sesiones!$E:$E,"&lt;"&amp;DATE($B$2,1+1,1),Sesiones!$G:$G,"ARS",Sesiones!$H:$H,"&lt;&gt;Pagada")</f>
        <v>0</v>
      </c>
      <c r="N5" s="21" t="n">
        <f aca="false">SUMIFS(Sesiones!$F:$F,Sesiones!$E:$E,"&gt;="&amp;A5,Sesiones!$E:$E,"&lt;"&amp;DATE($B$2,1+1,1),Sesiones!$G:$G,"USD",Sesiones!$H:$H,"&lt;&gt;Pagada")</f>
        <v>0</v>
      </c>
    </row>
    <row r="6" customFormat="false" ht="15" hidden="false" customHeight="false" outlineLevel="0" collapsed="false">
      <c r="A6" s="19" t="n">
        <f aca="false">DATE($B$2,2,1)</f>
        <v>46054</v>
      </c>
      <c r="B6" s="20" t="n">
        <f aca="false">SUMIFS(Pagos!$H:$H,Pagos!$C:$C,"&gt;="&amp;A6,Pagos!$C:$C,"&lt;"&amp;DATE($B$2,2+1,1),Pagos!$I:$I,"ARS")</f>
        <v>0</v>
      </c>
      <c r="C6" s="21" t="n">
        <f aca="false">SUMIFS(Pagos!$H:$H,Pagos!$C:$C,"&gt;="&amp;A6,Pagos!$C:$C,"&lt;"&amp;DATE($B$2,2+1,1),Pagos!$I:$I,"USD")</f>
        <v>0</v>
      </c>
      <c r="D6" s="20" t="n">
        <f aca="false">SUMIFS(Pagos!$H:$H,Pagos!$C:$C,"&gt;="&amp;A6,Pagos!$C:$C,"&lt;"&amp;DATE($B$2,2+1,1),Pagos!$I:$I,"ARS",Pagos!$K:$K,"Factura C")</f>
        <v>0</v>
      </c>
      <c r="E6" s="21" t="n">
        <f aca="false">SUMIFS(Pagos!$H:$H,Pagos!$C:$C,"&gt;="&amp;A6,Pagos!$C:$C,"&lt;"&amp;DATE($B$2,2+1,1),Pagos!$I:$I,"USD",Pagos!$K:$K,"Factura C")</f>
        <v>0</v>
      </c>
      <c r="F6" s="20" t="n">
        <f aca="false">B6-D6</f>
        <v>0</v>
      </c>
      <c r="G6" s="21" t="n">
        <f aca="false">C6-E6</f>
        <v>0</v>
      </c>
      <c r="H6" s="20" t="n">
        <f aca="false">SUMIFS(Pagos!$H:$H,Pagos!$C:$C,"&gt;="&amp;A6,Pagos!$C:$C,"&lt;"&amp;DATE($B$2,2+1,1),Pagos!$I:$I,"ARS",Pagos!$J:$J,"Efectivo")</f>
        <v>0</v>
      </c>
      <c r="I6" s="20" t="n">
        <f aca="false">SUMIFS(Pagos!$H:$H,Pagos!$C:$C,"&gt;="&amp;A6,Pagos!$C:$C,"&lt;"&amp;DATE($B$2,2+1,1),Pagos!$I:$I,"ARS",Pagos!$J:$J,"Transferencia")</f>
        <v>0</v>
      </c>
      <c r="J6" s="20" t="n">
        <f aca="false">SUMIFS(Pagos!$H:$H,Pagos!$C:$C,"&gt;="&amp;A6,Pagos!$C:$C,"&lt;"&amp;DATE($B$2,2+1,1),Pagos!$I:$I,"ARS",Pagos!$J:$J,"MercadoPago")</f>
        <v>0</v>
      </c>
      <c r="K6" s="20" t="n">
        <f aca="false">SUMIFS(Pagos!$H:$H,Pagos!$C:$C,"&gt;="&amp;A6,Pagos!$C:$C,"&lt;"&amp;DATE($B$2,2+1,1),Pagos!$I:$I,"ARS",Pagos!$J:$J,"Otro")</f>
        <v>0</v>
      </c>
      <c r="L6" s="22" t="n">
        <f aca="false">COUNTIFS(Sesiones!$E:$E,"&gt;="&amp;A6,Sesiones!$E:$E,"&lt;"&amp;DATE($B$2,2+1,1))</f>
        <v>0</v>
      </c>
      <c r="M6" s="20" t="n">
        <f aca="false">SUMIFS(Sesiones!$F:$F,Sesiones!$E:$E,"&gt;="&amp;A6,Sesiones!$E:$E,"&lt;"&amp;DATE($B$2,2+1,1),Sesiones!$G:$G,"ARS",Sesiones!$H:$H,"&lt;&gt;Pagada")</f>
        <v>0</v>
      </c>
      <c r="N6" s="21" t="n">
        <f aca="false">SUMIFS(Sesiones!$F:$F,Sesiones!$E:$E,"&gt;="&amp;A6,Sesiones!$E:$E,"&lt;"&amp;DATE($B$2,2+1,1),Sesiones!$G:$G,"USD",Sesiones!$H:$H,"&lt;&gt;Pagada")</f>
        <v>0</v>
      </c>
    </row>
    <row r="7" customFormat="false" ht="15" hidden="false" customHeight="false" outlineLevel="0" collapsed="false">
      <c r="A7" s="19" t="n">
        <f aca="false">DATE($B$2,3,1)</f>
        <v>46082</v>
      </c>
      <c r="B7" s="20" t="n">
        <f aca="false">SUMIFS(Pagos!$H:$H,Pagos!$C:$C,"&gt;="&amp;A7,Pagos!$C:$C,"&lt;"&amp;DATE($B$2,3+1,1),Pagos!$I:$I,"ARS")</f>
        <v>25000</v>
      </c>
      <c r="C7" s="21" t="n">
        <f aca="false">SUMIFS(Pagos!$H:$H,Pagos!$C:$C,"&gt;="&amp;A7,Pagos!$C:$C,"&lt;"&amp;DATE($B$2,3+1,1),Pagos!$I:$I,"USD")</f>
        <v>0</v>
      </c>
      <c r="D7" s="20" t="n">
        <f aca="false">SUMIFS(Pagos!$H:$H,Pagos!$C:$C,"&gt;="&amp;A7,Pagos!$C:$C,"&lt;"&amp;DATE($B$2,3+1,1),Pagos!$I:$I,"ARS",Pagos!$K:$K,"Factura C")</f>
        <v>25000</v>
      </c>
      <c r="E7" s="21" t="n">
        <f aca="false">SUMIFS(Pagos!$H:$H,Pagos!$C:$C,"&gt;="&amp;A7,Pagos!$C:$C,"&lt;"&amp;DATE($B$2,3+1,1),Pagos!$I:$I,"USD",Pagos!$K:$K,"Factura C")</f>
        <v>0</v>
      </c>
      <c r="F7" s="20" t="n">
        <f aca="false">B7-D7</f>
        <v>0</v>
      </c>
      <c r="G7" s="21" t="n">
        <f aca="false">C7-E7</f>
        <v>0</v>
      </c>
      <c r="H7" s="20" t="n">
        <f aca="false">SUMIFS(Pagos!$H:$H,Pagos!$C:$C,"&gt;="&amp;A7,Pagos!$C:$C,"&lt;"&amp;DATE($B$2,3+1,1),Pagos!$I:$I,"ARS",Pagos!$J:$J,"Efectivo")</f>
        <v>0</v>
      </c>
      <c r="I7" s="20" t="n">
        <f aca="false">SUMIFS(Pagos!$H:$H,Pagos!$C:$C,"&gt;="&amp;A7,Pagos!$C:$C,"&lt;"&amp;DATE($B$2,3+1,1),Pagos!$I:$I,"ARS",Pagos!$J:$J,"Transferencia")</f>
        <v>25000</v>
      </c>
      <c r="J7" s="20" t="n">
        <f aca="false">SUMIFS(Pagos!$H:$H,Pagos!$C:$C,"&gt;="&amp;A7,Pagos!$C:$C,"&lt;"&amp;DATE($B$2,3+1,1),Pagos!$I:$I,"ARS",Pagos!$J:$J,"MercadoPago")</f>
        <v>0</v>
      </c>
      <c r="K7" s="20" t="n">
        <f aca="false">SUMIFS(Pagos!$H:$H,Pagos!$C:$C,"&gt;="&amp;A7,Pagos!$C:$C,"&lt;"&amp;DATE($B$2,3+1,1),Pagos!$I:$I,"ARS",Pagos!$J:$J,"Otro")</f>
        <v>0</v>
      </c>
      <c r="L7" s="22" t="n">
        <f aca="false">COUNTIFS(Sesiones!$E:$E,"&gt;="&amp;A7,Sesiones!$E:$E,"&lt;"&amp;DATE($B$2,3+1,1))</f>
        <v>1</v>
      </c>
      <c r="M7" s="20" t="n">
        <f aca="false">SUMIFS(Sesiones!$F:$F,Sesiones!$E:$E,"&gt;="&amp;A7,Sesiones!$E:$E,"&lt;"&amp;DATE($B$2,3+1,1),Sesiones!$G:$G,"ARS",Sesiones!$H:$H,"&lt;&gt;Pagada")</f>
        <v>0</v>
      </c>
      <c r="N7" s="21" t="n">
        <f aca="false">SUMIFS(Sesiones!$F:$F,Sesiones!$E:$E,"&gt;="&amp;A7,Sesiones!$E:$E,"&lt;"&amp;DATE($B$2,3+1,1),Sesiones!$G:$G,"USD",Sesiones!$H:$H,"&lt;&gt;Pagada")</f>
        <v>0</v>
      </c>
    </row>
    <row r="8" customFormat="false" ht="15" hidden="false" customHeight="false" outlineLevel="0" collapsed="false">
      <c r="A8" s="19" t="n">
        <f aca="false">DATE($B$2,4,1)</f>
        <v>46113</v>
      </c>
      <c r="B8" s="20" t="n">
        <f aca="false">SUMIFS(Pagos!$H:$H,Pagos!$C:$C,"&gt;="&amp;A8,Pagos!$C:$C,"&lt;"&amp;DATE($B$2,4+1,1),Pagos!$I:$I,"ARS")</f>
        <v>0</v>
      </c>
      <c r="C8" s="21" t="n">
        <f aca="false">SUMIFS(Pagos!$H:$H,Pagos!$C:$C,"&gt;="&amp;A8,Pagos!$C:$C,"&lt;"&amp;DATE($B$2,4+1,1),Pagos!$I:$I,"USD")</f>
        <v>0</v>
      </c>
      <c r="D8" s="20" t="n">
        <f aca="false">SUMIFS(Pagos!$H:$H,Pagos!$C:$C,"&gt;="&amp;A8,Pagos!$C:$C,"&lt;"&amp;DATE($B$2,4+1,1),Pagos!$I:$I,"ARS",Pagos!$K:$K,"Factura C")</f>
        <v>0</v>
      </c>
      <c r="E8" s="21" t="n">
        <f aca="false">SUMIFS(Pagos!$H:$H,Pagos!$C:$C,"&gt;="&amp;A8,Pagos!$C:$C,"&lt;"&amp;DATE($B$2,4+1,1),Pagos!$I:$I,"USD",Pagos!$K:$K,"Factura C")</f>
        <v>0</v>
      </c>
      <c r="F8" s="20" t="n">
        <f aca="false">B8-D8</f>
        <v>0</v>
      </c>
      <c r="G8" s="21" t="n">
        <f aca="false">C8-E8</f>
        <v>0</v>
      </c>
      <c r="H8" s="20" t="n">
        <f aca="false">SUMIFS(Pagos!$H:$H,Pagos!$C:$C,"&gt;="&amp;A8,Pagos!$C:$C,"&lt;"&amp;DATE($B$2,4+1,1),Pagos!$I:$I,"ARS",Pagos!$J:$J,"Efectivo")</f>
        <v>0</v>
      </c>
      <c r="I8" s="20" t="n">
        <f aca="false">SUMIFS(Pagos!$H:$H,Pagos!$C:$C,"&gt;="&amp;A8,Pagos!$C:$C,"&lt;"&amp;DATE($B$2,4+1,1),Pagos!$I:$I,"ARS",Pagos!$J:$J,"Transferencia")</f>
        <v>0</v>
      </c>
      <c r="J8" s="20" t="n">
        <f aca="false">SUMIFS(Pagos!$H:$H,Pagos!$C:$C,"&gt;="&amp;A8,Pagos!$C:$C,"&lt;"&amp;DATE($B$2,4+1,1),Pagos!$I:$I,"ARS",Pagos!$J:$J,"MercadoPago")</f>
        <v>0</v>
      </c>
      <c r="K8" s="20" t="n">
        <f aca="false">SUMIFS(Pagos!$H:$H,Pagos!$C:$C,"&gt;="&amp;A8,Pagos!$C:$C,"&lt;"&amp;DATE($B$2,4+1,1),Pagos!$I:$I,"ARS",Pagos!$J:$J,"Otro")</f>
        <v>0</v>
      </c>
      <c r="L8" s="22" t="n">
        <f aca="false">COUNTIFS(Sesiones!$E:$E,"&gt;="&amp;A8,Sesiones!$E:$E,"&lt;"&amp;DATE($B$2,4+1,1))</f>
        <v>0</v>
      </c>
      <c r="M8" s="20" t="n">
        <f aca="false">SUMIFS(Sesiones!$F:$F,Sesiones!$E:$E,"&gt;="&amp;A8,Sesiones!$E:$E,"&lt;"&amp;DATE($B$2,4+1,1),Sesiones!$G:$G,"ARS",Sesiones!$H:$H,"&lt;&gt;Pagada")</f>
        <v>0</v>
      </c>
      <c r="N8" s="21" t="n">
        <f aca="false">SUMIFS(Sesiones!$F:$F,Sesiones!$E:$E,"&gt;="&amp;A8,Sesiones!$E:$E,"&lt;"&amp;DATE($B$2,4+1,1),Sesiones!$G:$G,"USD",Sesiones!$H:$H,"&lt;&gt;Pagada")</f>
        <v>0</v>
      </c>
    </row>
    <row r="9" customFormat="false" ht="15" hidden="false" customHeight="false" outlineLevel="0" collapsed="false">
      <c r="A9" s="19" t="n">
        <f aca="false">DATE($B$2,5,1)</f>
        <v>46143</v>
      </c>
      <c r="B9" s="20" t="n">
        <f aca="false">SUMIFS(Pagos!$H:$H,Pagos!$C:$C,"&gt;="&amp;A9,Pagos!$C:$C,"&lt;"&amp;DATE($B$2,5+1,1),Pagos!$I:$I,"ARS")</f>
        <v>0</v>
      </c>
      <c r="C9" s="21" t="n">
        <f aca="false">SUMIFS(Pagos!$H:$H,Pagos!$C:$C,"&gt;="&amp;A9,Pagos!$C:$C,"&lt;"&amp;DATE($B$2,5+1,1),Pagos!$I:$I,"USD")</f>
        <v>0</v>
      </c>
      <c r="D9" s="20" t="n">
        <f aca="false">SUMIFS(Pagos!$H:$H,Pagos!$C:$C,"&gt;="&amp;A9,Pagos!$C:$C,"&lt;"&amp;DATE($B$2,5+1,1),Pagos!$I:$I,"ARS",Pagos!$K:$K,"Factura C")</f>
        <v>0</v>
      </c>
      <c r="E9" s="21" t="n">
        <f aca="false">SUMIFS(Pagos!$H:$H,Pagos!$C:$C,"&gt;="&amp;A9,Pagos!$C:$C,"&lt;"&amp;DATE($B$2,5+1,1),Pagos!$I:$I,"USD",Pagos!$K:$K,"Factura C")</f>
        <v>0</v>
      </c>
      <c r="F9" s="20" t="n">
        <f aca="false">B9-D9</f>
        <v>0</v>
      </c>
      <c r="G9" s="21" t="n">
        <f aca="false">C9-E9</f>
        <v>0</v>
      </c>
      <c r="H9" s="20" t="n">
        <f aca="false">SUMIFS(Pagos!$H:$H,Pagos!$C:$C,"&gt;="&amp;A9,Pagos!$C:$C,"&lt;"&amp;DATE($B$2,5+1,1),Pagos!$I:$I,"ARS",Pagos!$J:$J,"Efectivo")</f>
        <v>0</v>
      </c>
      <c r="I9" s="20" t="n">
        <f aca="false">SUMIFS(Pagos!$H:$H,Pagos!$C:$C,"&gt;="&amp;A9,Pagos!$C:$C,"&lt;"&amp;DATE($B$2,5+1,1),Pagos!$I:$I,"ARS",Pagos!$J:$J,"Transferencia")</f>
        <v>0</v>
      </c>
      <c r="J9" s="20" t="n">
        <f aca="false">SUMIFS(Pagos!$H:$H,Pagos!$C:$C,"&gt;="&amp;A9,Pagos!$C:$C,"&lt;"&amp;DATE($B$2,5+1,1),Pagos!$I:$I,"ARS",Pagos!$J:$J,"MercadoPago")</f>
        <v>0</v>
      </c>
      <c r="K9" s="20" t="n">
        <f aca="false">SUMIFS(Pagos!$H:$H,Pagos!$C:$C,"&gt;="&amp;A9,Pagos!$C:$C,"&lt;"&amp;DATE($B$2,5+1,1),Pagos!$I:$I,"ARS",Pagos!$J:$J,"Otro")</f>
        <v>0</v>
      </c>
      <c r="L9" s="22" t="n">
        <f aca="false">COUNTIFS(Sesiones!$E:$E,"&gt;="&amp;A9,Sesiones!$E:$E,"&lt;"&amp;DATE($B$2,5+1,1))</f>
        <v>0</v>
      </c>
      <c r="M9" s="20" t="n">
        <f aca="false">SUMIFS(Sesiones!$F:$F,Sesiones!$E:$E,"&gt;="&amp;A9,Sesiones!$E:$E,"&lt;"&amp;DATE($B$2,5+1,1),Sesiones!$G:$G,"ARS",Sesiones!$H:$H,"&lt;&gt;Pagada")</f>
        <v>0</v>
      </c>
      <c r="N9" s="21" t="n">
        <f aca="false">SUMIFS(Sesiones!$F:$F,Sesiones!$E:$E,"&gt;="&amp;A9,Sesiones!$E:$E,"&lt;"&amp;DATE($B$2,5+1,1),Sesiones!$G:$G,"USD",Sesiones!$H:$H,"&lt;&gt;Pagada")</f>
        <v>0</v>
      </c>
    </row>
    <row r="10" customFormat="false" ht="15" hidden="false" customHeight="false" outlineLevel="0" collapsed="false">
      <c r="A10" s="19" t="n">
        <f aca="false">DATE($B$2,6,1)</f>
        <v>46174</v>
      </c>
      <c r="B10" s="20" t="n">
        <f aca="false">SUMIFS(Pagos!$H:$H,Pagos!$C:$C,"&gt;="&amp;A10,Pagos!$C:$C,"&lt;"&amp;DATE($B$2,6+1,1),Pagos!$I:$I,"ARS")</f>
        <v>0</v>
      </c>
      <c r="C10" s="21" t="n">
        <f aca="false">SUMIFS(Pagos!$H:$H,Pagos!$C:$C,"&gt;="&amp;A10,Pagos!$C:$C,"&lt;"&amp;DATE($B$2,6+1,1),Pagos!$I:$I,"USD")</f>
        <v>0</v>
      </c>
      <c r="D10" s="20" t="n">
        <f aca="false">SUMIFS(Pagos!$H:$H,Pagos!$C:$C,"&gt;="&amp;A10,Pagos!$C:$C,"&lt;"&amp;DATE($B$2,6+1,1),Pagos!$I:$I,"ARS",Pagos!$K:$K,"Factura C")</f>
        <v>0</v>
      </c>
      <c r="E10" s="21" t="n">
        <f aca="false">SUMIFS(Pagos!$H:$H,Pagos!$C:$C,"&gt;="&amp;A10,Pagos!$C:$C,"&lt;"&amp;DATE($B$2,6+1,1),Pagos!$I:$I,"USD",Pagos!$K:$K,"Factura C")</f>
        <v>0</v>
      </c>
      <c r="F10" s="20" t="n">
        <f aca="false">B10-D10</f>
        <v>0</v>
      </c>
      <c r="G10" s="21" t="n">
        <f aca="false">C10-E10</f>
        <v>0</v>
      </c>
      <c r="H10" s="20" t="n">
        <f aca="false">SUMIFS(Pagos!$H:$H,Pagos!$C:$C,"&gt;="&amp;A10,Pagos!$C:$C,"&lt;"&amp;DATE($B$2,6+1,1),Pagos!$I:$I,"ARS",Pagos!$J:$J,"Efectivo")</f>
        <v>0</v>
      </c>
      <c r="I10" s="20" t="n">
        <f aca="false">SUMIFS(Pagos!$H:$H,Pagos!$C:$C,"&gt;="&amp;A10,Pagos!$C:$C,"&lt;"&amp;DATE($B$2,6+1,1),Pagos!$I:$I,"ARS",Pagos!$J:$J,"Transferencia")</f>
        <v>0</v>
      </c>
      <c r="J10" s="20" t="n">
        <f aca="false">SUMIFS(Pagos!$H:$H,Pagos!$C:$C,"&gt;="&amp;A10,Pagos!$C:$C,"&lt;"&amp;DATE($B$2,6+1,1),Pagos!$I:$I,"ARS",Pagos!$J:$J,"MercadoPago")</f>
        <v>0</v>
      </c>
      <c r="K10" s="20" t="n">
        <f aca="false">SUMIFS(Pagos!$H:$H,Pagos!$C:$C,"&gt;="&amp;A10,Pagos!$C:$C,"&lt;"&amp;DATE($B$2,6+1,1),Pagos!$I:$I,"ARS",Pagos!$J:$J,"Otro")</f>
        <v>0</v>
      </c>
      <c r="L10" s="22" t="n">
        <f aca="false">COUNTIFS(Sesiones!$E:$E,"&gt;="&amp;A10,Sesiones!$E:$E,"&lt;"&amp;DATE($B$2,6+1,1))</f>
        <v>0</v>
      </c>
      <c r="M10" s="20" t="n">
        <f aca="false">SUMIFS(Sesiones!$F:$F,Sesiones!$E:$E,"&gt;="&amp;A10,Sesiones!$E:$E,"&lt;"&amp;DATE($B$2,6+1,1),Sesiones!$G:$G,"ARS",Sesiones!$H:$H,"&lt;&gt;Pagada")</f>
        <v>0</v>
      </c>
      <c r="N10" s="21" t="n">
        <f aca="false">SUMIFS(Sesiones!$F:$F,Sesiones!$E:$E,"&gt;="&amp;A10,Sesiones!$E:$E,"&lt;"&amp;DATE($B$2,6+1,1),Sesiones!$G:$G,"USD",Sesiones!$H:$H,"&lt;&gt;Pagada")</f>
        <v>0</v>
      </c>
    </row>
    <row r="11" customFormat="false" ht="15" hidden="false" customHeight="false" outlineLevel="0" collapsed="false">
      <c r="A11" s="19" t="n">
        <f aca="false">DATE($B$2,7,1)</f>
        <v>46204</v>
      </c>
      <c r="B11" s="20" t="n">
        <f aca="false">SUMIFS(Pagos!$H:$H,Pagos!$C:$C,"&gt;="&amp;A11,Pagos!$C:$C,"&lt;"&amp;DATE($B$2,7+1,1),Pagos!$I:$I,"ARS")</f>
        <v>0</v>
      </c>
      <c r="C11" s="21" t="n">
        <f aca="false">SUMIFS(Pagos!$H:$H,Pagos!$C:$C,"&gt;="&amp;A11,Pagos!$C:$C,"&lt;"&amp;DATE($B$2,7+1,1),Pagos!$I:$I,"USD")</f>
        <v>0</v>
      </c>
      <c r="D11" s="20" t="n">
        <f aca="false">SUMIFS(Pagos!$H:$H,Pagos!$C:$C,"&gt;="&amp;A11,Pagos!$C:$C,"&lt;"&amp;DATE($B$2,7+1,1),Pagos!$I:$I,"ARS",Pagos!$K:$K,"Factura C")</f>
        <v>0</v>
      </c>
      <c r="E11" s="21" t="n">
        <f aca="false">SUMIFS(Pagos!$H:$H,Pagos!$C:$C,"&gt;="&amp;A11,Pagos!$C:$C,"&lt;"&amp;DATE($B$2,7+1,1),Pagos!$I:$I,"USD",Pagos!$K:$K,"Factura C")</f>
        <v>0</v>
      </c>
      <c r="F11" s="20" t="n">
        <f aca="false">B11-D11</f>
        <v>0</v>
      </c>
      <c r="G11" s="21" t="n">
        <f aca="false">C11-E11</f>
        <v>0</v>
      </c>
      <c r="H11" s="20" t="n">
        <f aca="false">SUMIFS(Pagos!$H:$H,Pagos!$C:$C,"&gt;="&amp;A11,Pagos!$C:$C,"&lt;"&amp;DATE($B$2,7+1,1),Pagos!$I:$I,"ARS",Pagos!$J:$J,"Efectivo")</f>
        <v>0</v>
      </c>
      <c r="I11" s="20" t="n">
        <f aca="false">SUMIFS(Pagos!$H:$H,Pagos!$C:$C,"&gt;="&amp;A11,Pagos!$C:$C,"&lt;"&amp;DATE($B$2,7+1,1),Pagos!$I:$I,"ARS",Pagos!$J:$J,"Transferencia")</f>
        <v>0</v>
      </c>
      <c r="J11" s="20" t="n">
        <f aca="false">SUMIFS(Pagos!$H:$H,Pagos!$C:$C,"&gt;="&amp;A11,Pagos!$C:$C,"&lt;"&amp;DATE($B$2,7+1,1),Pagos!$I:$I,"ARS",Pagos!$J:$J,"MercadoPago")</f>
        <v>0</v>
      </c>
      <c r="K11" s="20" t="n">
        <f aca="false">SUMIFS(Pagos!$H:$H,Pagos!$C:$C,"&gt;="&amp;A11,Pagos!$C:$C,"&lt;"&amp;DATE($B$2,7+1,1),Pagos!$I:$I,"ARS",Pagos!$J:$J,"Otro")</f>
        <v>0</v>
      </c>
      <c r="L11" s="22" t="n">
        <f aca="false">COUNTIFS(Sesiones!$E:$E,"&gt;="&amp;A11,Sesiones!$E:$E,"&lt;"&amp;DATE($B$2,7+1,1))</f>
        <v>0</v>
      </c>
      <c r="M11" s="20" t="n">
        <f aca="false">SUMIFS(Sesiones!$F:$F,Sesiones!$E:$E,"&gt;="&amp;A11,Sesiones!$E:$E,"&lt;"&amp;DATE($B$2,7+1,1),Sesiones!$G:$G,"ARS",Sesiones!$H:$H,"&lt;&gt;Pagada")</f>
        <v>0</v>
      </c>
      <c r="N11" s="21" t="n">
        <f aca="false">SUMIFS(Sesiones!$F:$F,Sesiones!$E:$E,"&gt;="&amp;A11,Sesiones!$E:$E,"&lt;"&amp;DATE($B$2,7+1,1),Sesiones!$G:$G,"USD",Sesiones!$H:$H,"&lt;&gt;Pagada")</f>
        <v>0</v>
      </c>
    </row>
    <row r="12" customFormat="false" ht="15" hidden="false" customHeight="false" outlineLevel="0" collapsed="false">
      <c r="A12" s="19" t="n">
        <f aca="false">DATE($B$2,8,1)</f>
        <v>46235</v>
      </c>
      <c r="B12" s="20" t="n">
        <f aca="false">SUMIFS(Pagos!$H:$H,Pagos!$C:$C,"&gt;="&amp;A12,Pagos!$C:$C,"&lt;"&amp;DATE($B$2,8+1,1),Pagos!$I:$I,"ARS")</f>
        <v>0</v>
      </c>
      <c r="C12" s="21" t="n">
        <f aca="false">SUMIFS(Pagos!$H:$H,Pagos!$C:$C,"&gt;="&amp;A12,Pagos!$C:$C,"&lt;"&amp;DATE($B$2,8+1,1),Pagos!$I:$I,"USD")</f>
        <v>0</v>
      </c>
      <c r="D12" s="20" t="n">
        <f aca="false">SUMIFS(Pagos!$H:$H,Pagos!$C:$C,"&gt;="&amp;A12,Pagos!$C:$C,"&lt;"&amp;DATE($B$2,8+1,1),Pagos!$I:$I,"ARS",Pagos!$K:$K,"Factura C")</f>
        <v>0</v>
      </c>
      <c r="E12" s="21" t="n">
        <f aca="false">SUMIFS(Pagos!$H:$H,Pagos!$C:$C,"&gt;="&amp;A12,Pagos!$C:$C,"&lt;"&amp;DATE($B$2,8+1,1),Pagos!$I:$I,"USD",Pagos!$K:$K,"Factura C")</f>
        <v>0</v>
      </c>
      <c r="F12" s="20" t="n">
        <f aca="false">B12-D12</f>
        <v>0</v>
      </c>
      <c r="G12" s="21" t="n">
        <f aca="false">C12-E12</f>
        <v>0</v>
      </c>
      <c r="H12" s="20" t="n">
        <f aca="false">SUMIFS(Pagos!$H:$H,Pagos!$C:$C,"&gt;="&amp;A12,Pagos!$C:$C,"&lt;"&amp;DATE($B$2,8+1,1),Pagos!$I:$I,"ARS",Pagos!$J:$J,"Efectivo")</f>
        <v>0</v>
      </c>
      <c r="I12" s="20" t="n">
        <f aca="false">SUMIFS(Pagos!$H:$H,Pagos!$C:$C,"&gt;="&amp;A12,Pagos!$C:$C,"&lt;"&amp;DATE($B$2,8+1,1),Pagos!$I:$I,"ARS",Pagos!$J:$J,"Transferencia")</f>
        <v>0</v>
      </c>
      <c r="J12" s="20" t="n">
        <f aca="false">SUMIFS(Pagos!$H:$H,Pagos!$C:$C,"&gt;="&amp;A12,Pagos!$C:$C,"&lt;"&amp;DATE($B$2,8+1,1),Pagos!$I:$I,"ARS",Pagos!$J:$J,"MercadoPago")</f>
        <v>0</v>
      </c>
      <c r="K12" s="20" t="n">
        <f aca="false">SUMIFS(Pagos!$H:$H,Pagos!$C:$C,"&gt;="&amp;A12,Pagos!$C:$C,"&lt;"&amp;DATE($B$2,8+1,1),Pagos!$I:$I,"ARS",Pagos!$J:$J,"Otro")</f>
        <v>0</v>
      </c>
      <c r="L12" s="22" t="n">
        <f aca="false">COUNTIFS(Sesiones!$E:$E,"&gt;="&amp;A12,Sesiones!$E:$E,"&lt;"&amp;DATE($B$2,8+1,1))</f>
        <v>0</v>
      </c>
      <c r="M12" s="20" t="n">
        <f aca="false">SUMIFS(Sesiones!$F:$F,Sesiones!$E:$E,"&gt;="&amp;A12,Sesiones!$E:$E,"&lt;"&amp;DATE($B$2,8+1,1),Sesiones!$G:$G,"ARS",Sesiones!$H:$H,"&lt;&gt;Pagada")</f>
        <v>0</v>
      </c>
      <c r="N12" s="21" t="n">
        <f aca="false">SUMIFS(Sesiones!$F:$F,Sesiones!$E:$E,"&gt;="&amp;A12,Sesiones!$E:$E,"&lt;"&amp;DATE($B$2,8+1,1),Sesiones!$G:$G,"USD",Sesiones!$H:$H,"&lt;&gt;Pagada")</f>
        <v>0</v>
      </c>
    </row>
    <row r="13" customFormat="false" ht="15" hidden="false" customHeight="false" outlineLevel="0" collapsed="false">
      <c r="A13" s="19" t="n">
        <f aca="false">DATE($B$2,9,1)</f>
        <v>46266</v>
      </c>
      <c r="B13" s="20" t="n">
        <f aca="false">SUMIFS(Pagos!$H:$H,Pagos!$C:$C,"&gt;="&amp;A13,Pagos!$C:$C,"&lt;"&amp;DATE($B$2,9+1,1),Pagos!$I:$I,"ARS")</f>
        <v>0</v>
      </c>
      <c r="C13" s="21" t="n">
        <f aca="false">SUMIFS(Pagos!$H:$H,Pagos!$C:$C,"&gt;="&amp;A13,Pagos!$C:$C,"&lt;"&amp;DATE($B$2,9+1,1),Pagos!$I:$I,"USD")</f>
        <v>0</v>
      </c>
      <c r="D13" s="20" t="n">
        <f aca="false">SUMIFS(Pagos!$H:$H,Pagos!$C:$C,"&gt;="&amp;A13,Pagos!$C:$C,"&lt;"&amp;DATE($B$2,9+1,1),Pagos!$I:$I,"ARS",Pagos!$K:$K,"Factura C")</f>
        <v>0</v>
      </c>
      <c r="E13" s="21" t="n">
        <f aca="false">SUMIFS(Pagos!$H:$H,Pagos!$C:$C,"&gt;="&amp;A13,Pagos!$C:$C,"&lt;"&amp;DATE($B$2,9+1,1),Pagos!$I:$I,"USD",Pagos!$K:$K,"Factura C")</f>
        <v>0</v>
      </c>
      <c r="F13" s="20" t="n">
        <f aca="false">B13-D13</f>
        <v>0</v>
      </c>
      <c r="G13" s="21" t="n">
        <f aca="false">C13-E13</f>
        <v>0</v>
      </c>
      <c r="H13" s="20" t="n">
        <f aca="false">SUMIFS(Pagos!$H:$H,Pagos!$C:$C,"&gt;="&amp;A13,Pagos!$C:$C,"&lt;"&amp;DATE($B$2,9+1,1),Pagos!$I:$I,"ARS",Pagos!$J:$J,"Efectivo")</f>
        <v>0</v>
      </c>
      <c r="I13" s="20" t="n">
        <f aca="false">SUMIFS(Pagos!$H:$H,Pagos!$C:$C,"&gt;="&amp;A13,Pagos!$C:$C,"&lt;"&amp;DATE($B$2,9+1,1),Pagos!$I:$I,"ARS",Pagos!$J:$J,"Transferencia")</f>
        <v>0</v>
      </c>
      <c r="J13" s="20" t="n">
        <f aca="false">SUMIFS(Pagos!$H:$H,Pagos!$C:$C,"&gt;="&amp;A13,Pagos!$C:$C,"&lt;"&amp;DATE($B$2,9+1,1),Pagos!$I:$I,"ARS",Pagos!$J:$J,"MercadoPago")</f>
        <v>0</v>
      </c>
      <c r="K13" s="20" t="n">
        <f aca="false">SUMIFS(Pagos!$H:$H,Pagos!$C:$C,"&gt;="&amp;A13,Pagos!$C:$C,"&lt;"&amp;DATE($B$2,9+1,1),Pagos!$I:$I,"ARS",Pagos!$J:$J,"Otro")</f>
        <v>0</v>
      </c>
      <c r="L13" s="22" t="n">
        <f aca="false">COUNTIFS(Sesiones!$E:$E,"&gt;="&amp;A13,Sesiones!$E:$E,"&lt;"&amp;DATE($B$2,9+1,1))</f>
        <v>0</v>
      </c>
      <c r="M13" s="20" t="n">
        <f aca="false">SUMIFS(Sesiones!$F:$F,Sesiones!$E:$E,"&gt;="&amp;A13,Sesiones!$E:$E,"&lt;"&amp;DATE($B$2,9+1,1),Sesiones!$G:$G,"ARS",Sesiones!$H:$H,"&lt;&gt;Pagada")</f>
        <v>0</v>
      </c>
      <c r="N13" s="21" t="n">
        <f aca="false">SUMIFS(Sesiones!$F:$F,Sesiones!$E:$E,"&gt;="&amp;A13,Sesiones!$E:$E,"&lt;"&amp;DATE($B$2,9+1,1),Sesiones!$G:$G,"USD",Sesiones!$H:$H,"&lt;&gt;Pagada")</f>
        <v>0</v>
      </c>
    </row>
    <row r="14" customFormat="false" ht="15" hidden="false" customHeight="false" outlineLevel="0" collapsed="false">
      <c r="A14" s="19" t="n">
        <f aca="false">DATE($B$2,10,1)</f>
        <v>46296</v>
      </c>
      <c r="B14" s="20" t="n">
        <f aca="false">SUMIFS(Pagos!$H:$H,Pagos!$C:$C,"&gt;="&amp;A14,Pagos!$C:$C,"&lt;"&amp;DATE($B$2,10+1,1),Pagos!$I:$I,"ARS")</f>
        <v>0</v>
      </c>
      <c r="C14" s="21" t="n">
        <f aca="false">SUMIFS(Pagos!$H:$H,Pagos!$C:$C,"&gt;="&amp;A14,Pagos!$C:$C,"&lt;"&amp;DATE($B$2,10+1,1),Pagos!$I:$I,"USD")</f>
        <v>0</v>
      </c>
      <c r="D14" s="20" t="n">
        <f aca="false">SUMIFS(Pagos!$H:$H,Pagos!$C:$C,"&gt;="&amp;A14,Pagos!$C:$C,"&lt;"&amp;DATE($B$2,10+1,1),Pagos!$I:$I,"ARS",Pagos!$K:$K,"Factura C")</f>
        <v>0</v>
      </c>
      <c r="E14" s="21" t="n">
        <f aca="false">SUMIFS(Pagos!$H:$H,Pagos!$C:$C,"&gt;="&amp;A14,Pagos!$C:$C,"&lt;"&amp;DATE($B$2,10+1,1),Pagos!$I:$I,"USD",Pagos!$K:$K,"Factura C")</f>
        <v>0</v>
      </c>
      <c r="F14" s="20" t="n">
        <f aca="false">B14-D14</f>
        <v>0</v>
      </c>
      <c r="G14" s="21" t="n">
        <f aca="false">C14-E14</f>
        <v>0</v>
      </c>
      <c r="H14" s="20" t="n">
        <f aca="false">SUMIFS(Pagos!$H:$H,Pagos!$C:$C,"&gt;="&amp;A14,Pagos!$C:$C,"&lt;"&amp;DATE($B$2,10+1,1),Pagos!$I:$I,"ARS",Pagos!$J:$J,"Efectivo")</f>
        <v>0</v>
      </c>
      <c r="I14" s="20" t="n">
        <f aca="false">SUMIFS(Pagos!$H:$H,Pagos!$C:$C,"&gt;="&amp;A14,Pagos!$C:$C,"&lt;"&amp;DATE($B$2,10+1,1),Pagos!$I:$I,"ARS",Pagos!$J:$J,"Transferencia")</f>
        <v>0</v>
      </c>
      <c r="J14" s="20" t="n">
        <f aca="false">SUMIFS(Pagos!$H:$H,Pagos!$C:$C,"&gt;="&amp;A14,Pagos!$C:$C,"&lt;"&amp;DATE($B$2,10+1,1),Pagos!$I:$I,"ARS",Pagos!$J:$J,"MercadoPago")</f>
        <v>0</v>
      </c>
      <c r="K14" s="20" t="n">
        <f aca="false">SUMIFS(Pagos!$H:$H,Pagos!$C:$C,"&gt;="&amp;A14,Pagos!$C:$C,"&lt;"&amp;DATE($B$2,10+1,1),Pagos!$I:$I,"ARS",Pagos!$J:$J,"Otro")</f>
        <v>0</v>
      </c>
      <c r="L14" s="22" t="n">
        <f aca="false">COUNTIFS(Sesiones!$E:$E,"&gt;="&amp;A14,Sesiones!$E:$E,"&lt;"&amp;DATE($B$2,10+1,1))</f>
        <v>0</v>
      </c>
      <c r="M14" s="20" t="n">
        <f aca="false">SUMIFS(Sesiones!$F:$F,Sesiones!$E:$E,"&gt;="&amp;A14,Sesiones!$E:$E,"&lt;"&amp;DATE($B$2,10+1,1),Sesiones!$G:$G,"ARS",Sesiones!$H:$H,"&lt;&gt;Pagada")</f>
        <v>0</v>
      </c>
      <c r="N14" s="21" t="n">
        <f aca="false">SUMIFS(Sesiones!$F:$F,Sesiones!$E:$E,"&gt;="&amp;A14,Sesiones!$E:$E,"&lt;"&amp;DATE($B$2,10+1,1),Sesiones!$G:$G,"USD",Sesiones!$H:$H,"&lt;&gt;Pagada")</f>
        <v>0</v>
      </c>
    </row>
    <row r="15" customFormat="false" ht="15" hidden="false" customHeight="false" outlineLevel="0" collapsed="false">
      <c r="A15" s="19" t="n">
        <f aca="false">DATE($B$2,11,1)</f>
        <v>46327</v>
      </c>
      <c r="B15" s="20" t="n">
        <f aca="false">SUMIFS(Pagos!$H:$H,Pagos!$C:$C,"&gt;="&amp;A15,Pagos!$C:$C,"&lt;"&amp;DATE($B$2,11+1,1),Pagos!$I:$I,"ARS")</f>
        <v>0</v>
      </c>
      <c r="C15" s="21" t="n">
        <f aca="false">SUMIFS(Pagos!$H:$H,Pagos!$C:$C,"&gt;="&amp;A15,Pagos!$C:$C,"&lt;"&amp;DATE($B$2,11+1,1),Pagos!$I:$I,"USD")</f>
        <v>0</v>
      </c>
      <c r="D15" s="20" t="n">
        <f aca="false">SUMIFS(Pagos!$H:$H,Pagos!$C:$C,"&gt;="&amp;A15,Pagos!$C:$C,"&lt;"&amp;DATE($B$2,11+1,1),Pagos!$I:$I,"ARS",Pagos!$K:$K,"Factura C")</f>
        <v>0</v>
      </c>
      <c r="E15" s="21" t="n">
        <f aca="false">SUMIFS(Pagos!$H:$H,Pagos!$C:$C,"&gt;="&amp;A15,Pagos!$C:$C,"&lt;"&amp;DATE($B$2,11+1,1),Pagos!$I:$I,"USD",Pagos!$K:$K,"Factura C")</f>
        <v>0</v>
      </c>
      <c r="F15" s="20" t="n">
        <f aca="false">B15-D15</f>
        <v>0</v>
      </c>
      <c r="G15" s="21" t="n">
        <f aca="false">C15-E15</f>
        <v>0</v>
      </c>
      <c r="H15" s="20" t="n">
        <f aca="false">SUMIFS(Pagos!$H:$H,Pagos!$C:$C,"&gt;="&amp;A15,Pagos!$C:$C,"&lt;"&amp;DATE($B$2,11+1,1),Pagos!$I:$I,"ARS",Pagos!$J:$J,"Efectivo")</f>
        <v>0</v>
      </c>
      <c r="I15" s="20" t="n">
        <f aca="false">SUMIFS(Pagos!$H:$H,Pagos!$C:$C,"&gt;="&amp;A15,Pagos!$C:$C,"&lt;"&amp;DATE($B$2,11+1,1),Pagos!$I:$I,"ARS",Pagos!$J:$J,"Transferencia")</f>
        <v>0</v>
      </c>
      <c r="J15" s="20" t="n">
        <f aca="false">SUMIFS(Pagos!$H:$H,Pagos!$C:$C,"&gt;="&amp;A15,Pagos!$C:$C,"&lt;"&amp;DATE($B$2,11+1,1),Pagos!$I:$I,"ARS",Pagos!$J:$J,"MercadoPago")</f>
        <v>0</v>
      </c>
      <c r="K15" s="20" t="n">
        <f aca="false">SUMIFS(Pagos!$H:$H,Pagos!$C:$C,"&gt;="&amp;A15,Pagos!$C:$C,"&lt;"&amp;DATE($B$2,11+1,1),Pagos!$I:$I,"ARS",Pagos!$J:$J,"Otro")</f>
        <v>0</v>
      </c>
      <c r="L15" s="22" t="n">
        <f aca="false">COUNTIFS(Sesiones!$E:$E,"&gt;="&amp;A15,Sesiones!$E:$E,"&lt;"&amp;DATE($B$2,11+1,1))</f>
        <v>0</v>
      </c>
      <c r="M15" s="20" t="n">
        <f aca="false">SUMIFS(Sesiones!$F:$F,Sesiones!$E:$E,"&gt;="&amp;A15,Sesiones!$E:$E,"&lt;"&amp;DATE($B$2,11+1,1),Sesiones!$G:$G,"ARS",Sesiones!$H:$H,"&lt;&gt;Pagada")</f>
        <v>0</v>
      </c>
      <c r="N15" s="21" t="n">
        <f aca="false">SUMIFS(Sesiones!$F:$F,Sesiones!$E:$E,"&gt;="&amp;A15,Sesiones!$E:$E,"&lt;"&amp;DATE($B$2,11+1,1),Sesiones!$G:$G,"USD",Sesiones!$H:$H,"&lt;&gt;Pagada")</f>
        <v>0</v>
      </c>
    </row>
    <row r="16" customFormat="false" ht="15" hidden="false" customHeight="false" outlineLevel="0" collapsed="false">
      <c r="A16" s="19" t="n">
        <f aca="false">DATE($B$2,12,1)</f>
        <v>46357</v>
      </c>
      <c r="B16" s="20" t="n">
        <f aca="false">SUMIFS(Pagos!$H:$H,Pagos!$C:$C,"&gt;="&amp;A16,Pagos!$C:$C,"&lt;"&amp;DATE($B$2,12+1,1),Pagos!$I:$I,"ARS")</f>
        <v>0</v>
      </c>
      <c r="C16" s="21" t="n">
        <f aca="false">SUMIFS(Pagos!$H:$H,Pagos!$C:$C,"&gt;="&amp;A16,Pagos!$C:$C,"&lt;"&amp;DATE($B$2,12+1,1),Pagos!$I:$I,"USD")</f>
        <v>0</v>
      </c>
      <c r="D16" s="20" t="n">
        <f aca="false">SUMIFS(Pagos!$H:$H,Pagos!$C:$C,"&gt;="&amp;A16,Pagos!$C:$C,"&lt;"&amp;DATE($B$2,12+1,1),Pagos!$I:$I,"ARS",Pagos!$K:$K,"Factura C")</f>
        <v>0</v>
      </c>
      <c r="E16" s="21" t="n">
        <f aca="false">SUMIFS(Pagos!$H:$H,Pagos!$C:$C,"&gt;="&amp;A16,Pagos!$C:$C,"&lt;"&amp;DATE($B$2,12+1,1),Pagos!$I:$I,"USD",Pagos!$K:$K,"Factura C")</f>
        <v>0</v>
      </c>
      <c r="F16" s="20" t="n">
        <f aca="false">B16-D16</f>
        <v>0</v>
      </c>
      <c r="G16" s="21" t="n">
        <f aca="false">C16-E16</f>
        <v>0</v>
      </c>
      <c r="H16" s="20" t="n">
        <f aca="false">SUMIFS(Pagos!$H:$H,Pagos!$C:$C,"&gt;="&amp;A16,Pagos!$C:$C,"&lt;"&amp;DATE($B$2,12+1,1),Pagos!$I:$I,"ARS",Pagos!$J:$J,"Efectivo")</f>
        <v>0</v>
      </c>
      <c r="I16" s="20" t="n">
        <f aca="false">SUMIFS(Pagos!$H:$H,Pagos!$C:$C,"&gt;="&amp;A16,Pagos!$C:$C,"&lt;"&amp;DATE($B$2,12+1,1),Pagos!$I:$I,"ARS",Pagos!$J:$J,"Transferencia")</f>
        <v>0</v>
      </c>
      <c r="J16" s="20" t="n">
        <f aca="false">SUMIFS(Pagos!$H:$H,Pagos!$C:$C,"&gt;="&amp;A16,Pagos!$C:$C,"&lt;"&amp;DATE($B$2,12+1,1),Pagos!$I:$I,"ARS",Pagos!$J:$J,"MercadoPago")</f>
        <v>0</v>
      </c>
      <c r="K16" s="20" t="n">
        <f aca="false">SUMIFS(Pagos!$H:$H,Pagos!$C:$C,"&gt;="&amp;A16,Pagos!$C:$C,"&lt;"&amp;DATE($B$2,12+1,1),Pagos!$I:$I,"ARS",Pagos!$J:$J,"Otro")</f>
        <v>0</v>
      </c>
      <c r="L16" s="22" t="n">
        <f aca="false">COUNTIFS(Sesiones!$E:$E,"&gt;="&amp;A16,Sesiones!$E:$E,"&lt;"&amp;DATE($B$2,12+1,1))</f>
        <v>0</v>
      </c>
      <c r="M16" s="20" t="n">
        <f aca="false">SUMIFS(Sesiones!$F:$F,Sesiones!$E:$E,"&gt;="&amp;A16,Sesiones!$E:$E,"&lt;"&amp;DATE($B$2,12+1,1),Sesiones!$G:$G,"ARS",Sesiones!$H:$H,"&lt;&gt;Pagada")</f>
        <v>0</v>
      </c>
      <c r="N16" s="21" t="n">
        <f aca="false">SUMIFS(Sesiones!$F:$F,Sesiones!$E:$E,"&gt;="&amp;A16,Sesiones!$E:$E,"&lt;"&amp;DATE($B$2,12+1,1),Sesiones!$G:$G,"USD",Sesiones!$H:$H,"&lt;&gt;Pagada")</f>
        <v>0</v>
      </c>
    </row>
    <row r="17" customFormat="false" ht="15" hidden="false" customHeight="false" outlineLevel="0" collapsed="false">
      <c r="A17" s="17" t="s">
        <v>103</v>
      </c>
      <c r="B17" s="23" t="n">
        <f aca="false">SUM(B5:B16)</f>
        <v>25000</v>
      </c>
      <c r="C17" s="24" t="n">
        <f aca="false">SUM(C5:C16)</f>
        <v>0</v>
      </c>
      <c r="D17" s="23" t="n">
        <f aca="false">SUM(D5:D16)</f>
        <v>25000</v>
      </c>
      <c r="E17" s="24" t="n">
        <f aca="false">SUM(E5:E16)</f>
        <v>0</v>
      </c>
      <c r="F17" s="23" t="n">
        <f aca="false">SUM(F5:F16)</f>
        <v>0</v>
      </c>
      <c r="G17" s="24" t="n">
        <f aca="false">SUM(G5:G16)</f>
        <v>0</v>
      </c>
      <c r="H17" s="23" t="n">
        <f aca="false">SUM(H5:H16)</f>
        <v>0</v>
      </c>
      <c r="I17" s="23" t="n">
        <f aca="false">SUM(I5:I16)</f>
        <v>25000</v>
      </c>
      <c r="J17" s="23" t="n">
        <f aca="false">SUM(J5:J16)</f>
        <v>0</v>
      </c>
      <c r="K17" s="23" t="n">
        <f aca="false">SUM(K5:K16)</f>
        <v>0</v>
      </c>
      <c r="L17" s="25" t="n">
        <f aca="false">SUM(L5:L16)</f>
        <v>1</v>
      </c>
      <c r="M17" s="23" t="n">
        <f aca="false">SUM(M5:M16)</f>
        <v>0</v>
      </c>
      <c r="N17" s="24" t="n">
        <f aca="false">SUM(N5:N16)</f>
        <v>0</v>
      </c>
    </row>
    <row r="19" customFormat="false" ht="15" hidden="false" customHeight="false" outlineLevel="0" collapsed="false">
      <c r="A19" s="17" t="s">
        <v>104</v>
      </c>
    </row>
    <row r="20" customFormat="false" ht="15" hidden="false" customHeight="false" outlineLevel="0" collapsed="false">
      <c r="A20" s="0" t="s">
        <v>90</v>
      </c>
      <c r="B20" s="26" t="n">
        <f aca="true">SUMIFS(Pagos!$H:$H,Pagos!$B:$B,"&gt;"&amp;EDATE(TODAY(),-12),Pagos!$B:$B,"&lt;="&amp;TODAY(),Pagos!$I:$I,"ARS")</f>
        <v>25000</v>
      </c>
    </row>
    <row r="21" customFormat="false" ht="15" hidden="false" customHeight="false" outlineLevel="0" collapsed="false">
      <c r="A21" s="0" t="s">
        <v>91</v>
      </c>
      <c r="B21" s="27" t="n">
        <f aca="true">SUMIFS(Pagos!$H:$H,Pagos!$B:$B,"&gt;"&amp;EDATE(TODAY(),-12),Pagos!$B:$B,"&lt;="&amp;TODAY(),Pagos!$I:$I,"USD")</f>
        <v>0</v>
      </c>
    </row>
    <row r="22" customFormat="false" ht="15" hidden="false" customHeight="false" outlineLevel="0" collapsed="false">
      <c r="A22" s="28" t="s">
        <v>105</v>
      </c>
    </row>
    <row r="23" customFormat="false" ht="15" hidden="false" customHeight="false" outlineLevel="0" collapsed="false">
      <c r="A23" s="28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0" width="24"/>
  </cols>
  <sheetData>
    <row r="1" customFormat="false" ht="15" hidden="false" customHeight="false" outlineLevel="0" collapsed="false">
      <c r="A1" s="29" t="s">
        <v>42</v>
      </c>
      <c r="B1" s="29" t="s">
        <v>78</v>
      </c>
      <c r="C1" s="29" t="s">
        <v>40</v>
      </c>
      <c r="D1" s="29" t="s">
        <v>107</v>
      </c>
      <c r="E1" s="29" t="s">
        <v>45</v>
      </c>
      <c r="F1" s="29" t="s">
        <v>108</v>
      </c>
      <c r="G1" s="29" t="s">
        <v>79</v>
      </c>
      <c r="H1" s="29" t="s">
        <v>43</v>
      </c>
    </row>
    <row r="2" customFormat="false" ht="15" hidden="false" customHeight="false" outlineLevel="0" collapsed="false">
      <c r="A2" s="2" t="s">
        <v>62</v>
      </c>
      <c r="B2" s="2" t="s">
        <v>109</v>
      </c>
      <c r="C2" s="2" t="s">
        <v>61</v>
      </c>
      <c r="D2" s="2" t="s">
        <v>57</v>
      </c>
      <c r="E2" s="2" t="s">
        <v>64</v>
      </c>
      <c r="F2" s="2" t="s">
        <v>74</v>
      </c>
      <c r="G2" s="2" t="s">
        <v>85</v>
      </c>
      <c r="H2" s="2" t="s">
        <v>63</v>
      </c>
    </row>
    <row r="3" customFormat="false" ht="15" hidden="false" customHeight="false" outlineLevel="0" collapsed="false">
      <c r="A3" s="2" t="s">
        <v>110</v>
      </c>
      <c r="B3" s="2" t="s">
        <v>84</v>
      </c>
      <c r="C3" s="2" t="s">
        <v>111</v>
      </c>
      <c r="D3" s="2" t="s">
        <v>112</v>
      </c>
      <c r="E3" s="2" t="s">
        <v>113</v>
      </c>
      <c r="F3" s="2" t="s">
        <v>114</v>
      </c>
      <c r="G3" s="2" t="s">
        <v>115</v>
      </c>
      <c r="H3" s="2" t="s">
        <v>116</v>
      </c>
    </row>
    <row r="4" customFormat="false" ht="15" hidden="false" customHeight="false" outlineLevel="0" collapsed="false">
      <c r="B4" s="2" t="s">
        <v>117</v>
      </c>
      <c r="D4" s="2" t="s">
        <v>118</v>
      </c>
      <c r="F4" s="2" t="s">
        <v>119</v>
      </c>
      <c r="G4" s="2" t="s">
        <v>120</v>
      </c>
      <c r="H4" s="2" t="s">
        <v>111</v>
      </c>
    </row>
    <row r="5" customFormat="false" ht="15" hidden="false" customHeight="false" outlineLevel="0" collapsed="false">
      <c r="B5" s="2" t="s">
        <v>121</v>
      </c>
      <c r="D5" s="2" t="s">
        <v>122</v>
      </c>
      <c r="H5" s="2" t="s">
        <v>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2026-10-15T21:57:02Z</dcterms:created>
  <dc:creator>openpyxl</dc:creator>
  <dc:description/>
  <dc:language>en-US</dc:language>
  <cp:lastModifiedBy/>
  <dcterms:modified xsi:type="dcterms:W3CDTF">2026-10-15T21:57:03Z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